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ages" sheetId="2" state="visible" r:id="rId4"/>
    <sheet name="Backlog" sheetId="3" state="visible" r:id="rId5"/>
    <sheet name="Requirements" sheetId="4" state="visible" r:id="rId6"/>
    <sheet name="Server Setup" sheetId="5" state="visible" r:id="rId7"/>
    <sheet name="Tech Stack" sheetId="6" state="visible" r:id="rId8"/>
    <sheet name="Risks" sheetId="7" state="visible" r:id="rId9"/>
  </sheets>
  <definedNames>
    <definedName function="false" hidden="true" localSheetId="2" name="_xlnm._FilterDatabase" vbProcedure="false">Backlog!$A$4:$K$106</definedName>
    <definedName function="false" hidden="true" localSheetId="3" name="_xlnm._FilterDatabase" vbProcedure="false">Requirements!$A$4:$H$39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<sst xmlns="http://schemas.openxmlformats.org/spreadsheetml/2006/main" count="1418" uniqueCount="691">
  <si>
    <t xml:space="preserve">Kita Kids Database – Development Plan</t>
  </si>
  <si>
    <t xml:space="preserve">Web application for kindergarten staff · Python + TypeScript · local-network server · one developer</t>
  </si>
  <si>
    <t xml:space="preserve">Project start</t>
  </si>
  <si>
    <t xml:space="preserve">Release 1 (core app) live by</t>
  </si>
  <si>
    <t xml:space="preserve">Release 2 (extras + AI) live by</t>
  </si>
  <si>
    <t xml:space="preserve">Total duration (weeks)</t>
  </si>
  <si>
    <t xml:space="preserve">Number of stages</t>
  </si>
  <si>
    <t xml:space="preserve">Number of backlog tasks</t>
  </si>
  <si>
    <t xml:space="preserve">Effort Release 1 (days)</t>
  </si>
  <si>
    <t xml:space="preserve">Effort Release 2 (days)</t>
  </si>
  <si>
    <t xml:space="preserve">Total effort (person-days)</t>
  </si>
  <si>
    <t xml:space="preserve">Tasks done</t>
  </si>
  <si>
    <t xml:space="preserve">Progress (tasks)</t>
  </si>
  <si>
    <t xml:space="preserve">High-rated risks</t>
  </si>
  <si>
    <t xml:space="preserve">Sheets in this workbook</t>
  </si>
  <si>
    <t xml:space="preserve">Stages</t>
  </si>
  <si>
    <t xml:space="preserve">17 stages in two releases; effort from the backlog; start date, buffer and availability are inputs</t>
  </si>
  <si>
    <t xml:space="preserve">Backlog</t>
  </si>
  <si>
    <t xml:space="preserve">All tasks with stage, release, technology, owner, effort, priority, status (filterable)</t>
  </si>
  <si>
    <t xml:space="preserve">Requirements</t>
  </si>
  <si>
    <t xml:space="preserve">Your 17 features plus 18 suggested ones, mapped to stages and releases</t>
  </si>
  <si>
    <t xml:space="preserve">Server Setup</t>
  </si>
  <si>
    <t xml:space="preserve">Step-by-step checklist for the Kita server</t>
  </si>
  <si>
    <t xml:space="preserve">Tech Stack</t>
  </si>
  <si>
    <t xml:space="preserve">Proposed technologies with reasons</t>
  </si>
  <si>
    <t xml:space="preserve">Risks</t>
  </si>
  <si>
    <t xml:space="preserve">Risk register with score and mitigation</t>
  </si>
  <si>
    <t xml:space="preserve">Release 1 is the usable core (login, profiles with safety data, groups, board, calendar, attendance, feedback). Release 2 adds parent communication, daily reports, staff tools and AI.</t>
  </si>
  <si>
    <t xml:space="preserve">Estimates are initial assumptions; refine after S0 and S1. Change the availability in Stages!B5 if you work on this part-time.</t>
  </si>
  <si>
    <t xml:space="preserve">Kita Kids Database – Development Stages</t>
  </si>
  <si>
    <t xml:space="preserve">Blue cells are inputs. Effort comes from the Backlog; duration and dates recalculate automatically.</t>
  </si>
  <si>
    <t xml:space="preserve">Project start date</t>
  </si>
  <si>
    <t xml:space="preserve">Start today (Wed 21.10.2026), as requested</t>
  </si>
  <si>
    <t xml:space="preserve">Buffer for meetings, bugs, rework</t>
  </si>
  <si>
    <t xml:space="preserve">Assumption: 20% on top of task effort</t>
  </si>
  <si>
    <t xml:space="preserve">Your availability (days per week)</t>
  </si>
  <si>
    <t xml:space="preserve">Assumption: full time. Set e.g. 2.5 if you work on this part-time; all dates move</t>
  </si>
  <si>
    <t xml:space="preserve">Public holidays, Kita closing days and your own leave are not included.</t>
  </si>
  <si>
    <t xml:space="preserve">Stage ID</t>
  </si>
  <si>
    <t xml:space="preserve">Stage</t>
  </si>
  <si>
    <t xml:space="preserve">Release</t>
  </si>
  <si>
    <t xml:space="preserve">Description</t>
  </si>
  <si>
    <t xml:space="preserve">Effort (days)</t>
  </si>
  <si>
    <t xml:space="preserve">Duration (weeks)</t>
  </si>
  <si>
    <t xml:space="preserve">Start</t>
  </si>
  <si>
    <t xml:space="preserve">End</t>
  </si>
  <si>
    <t xml:space="preserve">Key deliverable</t>
  </si>
  <si>
    <t xml:space="preserve">Status</t>
  </si>
  <si>
    <t xml:space="preserve">S0</t>
  </si>
  <si>
    <t xml:space="preserve">Discovery &amp; Requirements</t>
  </si>
  <si>
    <t xml:space="preserve">Release 1</t>
  </si>
  <si>
    <t xml:space="preserve">Clarify scope, users, legal basis (Swiss nDSG / German DSGVO), existing hardware</t>
  </si>
  <si>
    <t xml:space="preserve">Signed-off requirements &amp; data-protection concept</t>
  </si>
  <si>
    <t xml:space="preserve">Not started</t>
  </si>
  <si>
    <t xml:space="preserve">S1</t>
  </si>
  <si>
    <t xml:space="preserve">UX / HMI Design</t>
  </si>
  <si>
    <t xml:space="preserve">Wireframes and clickable prototype for non-technical staff; tablet-friendly; German/English</t>
  </si>
  <si>
    <t xml:space="preserve">Approved prototype &amp; style guide</t>
  </si>
  <si>
    <t xml:space="preserve">S2</t>
  </si>
  <si>
    <t xml:space="preserve">Architecture &amp; Dev Setup</t>
  </si>
  <si>
    <t xml:space="preserve">Tech stack, repo, CI, DB schema, development environment on your own machine</t>
  </si>
  <si>
    <t xml:space="preserve">Running skeleton (backend + frontend + DB)</t>
  </si>
  <si>
    <t xml:space="preserve">S3</t>
  </si>
  <si>
    <t xml:space="preserve">Server &amp; Infrastructure Setup</t>
  </si>
  <si>
    <t xml:space="preserve">Install and secure the Kita server, HTTPS, backups, monitoring (see sheet Server Setup)</t>
  </si>
  <si>
    <t xml:space="preserve">Staging server running with tested backup/restore</t>
  </si>
  <si>
    <t xml:space="preserve">S4</t>
  </si>
  <si>
    <t xml:space="preserve">Authentication &amp; Access Control</t>
  </si>
  <si>
    <t xml:space="preserve">Login, roles (Admin / Teacher / Guest), user-admin page</t>
  </si>
  <si>
    <t xml:space="preserve">Secure login with role-based access</t>
  </si>
  <si>
    <t xml:space="preserve">S5</t>
  </si>
  <si>
    <t xml:space="preserve">Kids Profiles, Safety &amp; Archive</t>
  </si>
  <si>
    <t xml:space="preserve">Profiles, parents, emergency contacts, pick-up persons, allergy alerts, consents, photos, archive</t>
  </si>
  <si>
    <t xml:space="preserve">Kids profile module</t>
  </si>
  <si>
    <t xml:space="preserve">S6</t>
  </si>
  <si>
    <t xml:space="preserve">Groups &amp; Task Board</t>
  </si>
  <si>
    <t xml:space="preserve">Group selection, group views, agile board with backlog</t>
  </si>
  <si>
    <t xml:space="preserve">Group module with Kanban board</t>
  </si>
  <si>
    <t xml:space="preserve">S7</t>
  </si>
  <si>
    <t xml:space="preserve">Calendar &amp; Events</t>
  </si>
  <si>
    <t xml:space="preserve">Holidays, events, birthdays, group and Kita-wide views</t>
  </si>
  <si>
    <t xml:space="preserve">Calendar module</t>
  </si>
  <si>
    <t xml:space="preserve">S8</t>
  </si>
  <si>
    <t xml:space="preserve">Attendance, Incidents &amp; Emergency</t>
  </si>
  <si>
    <t xml:space="preserve">Daily attendance, absences, incident log, printable emergency list, today dashboard</t>
  </si>
  <si>
    <t xml:space="preserve">Daily-operations module</t>
  </si>
  <si>
    <t xml:space="preserve">S9</t>
  </si>
  <si>
    <t xml:space="preserve">Feedback &amp; Crash Reporting</t>
  </si>
  <si>
    <t xml:space="preserve">Problem / idea / change-request form, automatic crash reports to developer</t>
  </si>
  <si>
    <t xml:space="preserve">Feedback module</t>
  </si>
  <si>
    <t xml:space="preserve">S10</t>
  </si>
  <si>
    <t xml:space="preserve">Data Separation &amp; Security Hardening</t>
  </si>
  <si>
    <t xml:space="preserve">Current vs. archived data, encryption, audit log, parent data export, security review</t>
  </si>
  <si>
    <t xml:space="preserve">Security checklist passed</t>
  </si>
  <si>
    <t xml:space="preserve">S11</t>
  </si>
  <si>
    <t xml:space="preserve">Testing &amp; Pilot</t>
  </si>
  <si>
    <t xml:space="preserve">Automated and manual tests, user acceptance test with Kita staff, bug fixing</t>
  </si>
  <si>
    <t xml:space="preserve">UAT sign-off</t>
  </si>
  <si>
    <t xml:space="preserve">S12</t>
  </si>
  <si>
    <t xml:space="preserve">Deployment, Training &amp; Go-live</t>
  </si>
  <si>
    <t xml:space="preserve">Production release on the Kita server, manual, staff training, support process</t>
  </si>
  <si>
    <t xml:space="preserve">Release 1 live</t>
  </si>
  <si>
    <t xml:space="preserve">S13</t>
  </si>
  <si>
    <t xml:space="preserve">Parent Communication &amp; Documents</t>
  </si>
  <si>
    <t xml:space="preserve">Release 2</t>
  </si>
  <si>
    <t xml:space="preserve">Parent role/portal, announcements, messages, read receipts, document templates</t>
  </si>
  <si>
    <t xml:space="preserve">Parent communication module</t>
  </si>
  <si>
    <t xml:space="preserve">S14</t>
  </si>
  <si>
    <t xml:space="preserve">Daily Reports, Development &amp; Staff Ops</t>
  </si>
  <si>
    <t xml:space="preserve">Daily report, development observations, staff roster, meal plan, waiting list</t>
  </si>
  <si>
    <t xml:space="preserve">Operations module</t>
  </si>
  <si>
    <t xml:space="preserve">S15</t>
  </si>
  <si>
    <t xml:space="preserve">AI Features</t>
  </si>
  <si>
    <t xml:space="preserve">Local AI: search, drafting, translation, suggestions, help assistant</t>
  </si>
  <si>
    <t xml:space="preserve">AI assistant module</t>
  </si>
  <si>
    <t xml:space="preserve">S16</t>
  </si>
  <si>
    <t xml:space="preserve">Release 2 Testing &amp; Rollout</t>
  </si>
  <si>
    <t xml:space="preserve">Tests, user acceptance, bug fixing, deployment and training for new modules</t>
  </si>
  <si>
    <t xml:space="preserve">Release 2 live</t>
  </si>
  <si>
    <t xml:space="preserve">Total</t>
  </si>
  <si>
    <t xml:space="preserve">Stages run one after another because you are the only developer. Light-blue rows are Release 2.</t>
  </si>
  <si>
    <t xml:space="preserve">Task Backlog</t>
  </si>
  <si>
    <t xml:space="preserve">Effort (days) is an estimate for one developer; change the blue cells and the Stages sheet recalculates. Filter by stage, release, priority or status.</t>
  </si>
  <si>
    <t xml:space="preserve">ID</t>
  </si>
  <si>
    <t xml:space="preserve">Stage name</t>
  </si>
  <si>
    <t xml:space="preserve">Task</t>
  </si>
  <si>
    <t xml:space="preserve">Feature area</t>
  </si>
  <si>
    <t xml:space="preserve">Technology</t>
  </si>
  <si>
    <t xml:space="preserve">Owner role</t>
  </si>
  <si>
    <t xml:space="preserve">Priority</t>
  </si>
  <si>
    <t xml:space="preserve">T001</t>
  </si>
  <si>
    <t xml:space="preserve">Interview Kita management and teachers; collect real workflows</t>
  </si>
  <si>
    <t xml:space="preserve">All</t>
  </si>
  <si>
    <t xml:space="preserve">Workshops</t>
  </si>
  <si>
    <t xml:space="preserve">Product owner</t>
  </si>
  <si>
    <t xml:space="preserve">High</t>
  </si>
  <si>
    <t xml:space="preserve">To do</t>
  </si>
  <si>
    <t xml:space="preserve">T002</t>
  </si>
  <si>
    <t xml:space="preserve">Define user roles and permission matrix (Admin / Teacher / Guest; Parent later)</t>
  </si>
  <si>
    <t xml:space="preserve">Access rights</t>
  </si>
  <si>
    <t xml:space="preserve">Document</t>
  </si>
  <si>
    <t xml:space="preserve">T003</t>
  </si>
  <si>
    <t xml:space="preserve">Data-protection assessment for children's, parents' and health data (nDSG/DSGVO), photo consent</t>
  </si>
  <si>
    <t xml:space="preserve">Security</t>
  </si>
  <si>
    <t xml:space="preserve">T004</t>
  </si>
  <si>
    <t xml:space="preserve">Confirm country/canton and legal basis; name a data-protection contact at the Kita</t>
  </si>
  <si>
    <t xml:space="preserve">T005</t>
  </si>
  <si>
    <t xml:space="preserve">Inventory existing hardware, network, number of PCs/tablets</t>
  </si>
  <si>
    <t xml:space="preserve">Server</t>
  </si>
  <si>
    <t xml:space="preserve">Checklist</t>
  </si>
  <si>
    <t xml:space="preserve">Developer</t>
  </si>
  <si>
    <t xml:space="preserve">T006</t>
  </si>
  <si>
    <t xml:space="preserve">Define Release 1 / Release 2 scope (MoSCoW) and confirm with Kita management</t>
  </si>
  <si>
    <t xml:space="preserve">T007</t>
  </si>
  <si>
    <t xml:space="preserve">User personas and task flows for basic-skill users</t>
  </si>
  <si>
    <t xml:space="preserve">UX/HMI</t>
  </si>
  <si>
    <t xml:space="preserve">Figma / paper</t>
  </si>
  <si>
    <t xml:space="preserve">UX designer</t>
  </si>
  <si>
    <t xml:space="preserve">T008</t>
  </si>
  <si>
    <t xml:space="preserve">Wireframes: landing, group view, kids profile, allergy alerts, attendance, board, calendar, admin page</t>
  </si>
  <si>
    <t xml:space="preserve">Figma</t>
  </si>
  <si>
    <t xml:space="preserve">T009</t>
  </si>
  <si>
    <t xml:space="preserve">Style guide: large buttons, high contrast, icons + text, group icons (Monkey, Butterflies…)</t>
  </si>
  <si>
    <t xml:space="preserve">Medium</t>
  </si>
  <si>
    <t xml:space="preserve">T010</t>
  </si>
  <si>
    <t xml:space="preserve">Tablet-first layout guidelines (touch targets, PWA behaviour)</t>
  </si>
  <si>
    <t xml:space="preserve">T011</t>
  </si>
  <si>
    <t xml:space="preserve">Clickable prototype and usability test with 3–5 Kita staff</t>
  </si>
  <si>
    <t xml:space="preserve">T012</t>
  </si>
  <si>
    <t xml:space="preserve">German/English UI texts (i18n keys)</t>
  </si>
  <si>
    <t xml:space="preserve">JSON</t>
  </si>
  <si>
    <t xml:space="preserve">T013</t>
  </si>
  <si>
    <t xml:space="preserve">Choose stack (FastAPI + PostgreSQL + React/TypeScript) and record decision</t>
  </si>
  <si>
    <t xml:space="preserve">Architecture</t>
  </si>
  <si>
    <t xml:space="preserve">Python, TypeScript</t>
  </si>
  <si>
    <t xml:space="preserve">T014</t>
  </si>
  <si>
    <t xml:space="preserve">Set up development environment on your computer (Python, Node, Docker, Postgres container)</t>
  </si>
  <si>
    <t xml:space="preserve">Docker</t>
  </si>
  <si>
    <t xml:space="preserve">T015</t>
  </si>
  <si>
    <t xml:space="preserve">Create repo, branching, linting, pre-commit, CI pipeline</t>
  </si>
  <si>
    <t xml:space="preserve">Git, GitHub Actions / Azure DevOps</t>
  </si>
  <si>
    <t xml:space="preserve">T016</t>
  </si>
  <si>
    <t xml:space="preserve">Design database schema (users, kids, parents, groups, tasks, events, attendance, audit log)</t>
  </si>
  <si>
    <t xml:space="preserve">Database</t>
  </si>
  <si>
    <t xml:space="preserve">PostgreSQL, SQLAlchemy, Alembic</t>
  </si>
  <si>
    <t xml:space="preserve">T017</t>
  </si>
  <si>
    <t xml:space="preserve">Backend skeleton with health endpoint, config, logging</t>
  </si>
  <si>
    <t xml:space="preserve">FastAPI</t>
  </si>
  <si>
    <t xml:space="preserve">T018</t>
  </si>
  <si>
    <t xml:space="preserve">Frontend skeleton with routing, layout, i18n, API client, PWA manifest</t>
  </si>
  <si>
    <t xml:space="preserve">React, TypeScript, Vite</t>
  </si>
  <si>
    <t xml:space="preserve">T019</t>
  </si>
  <si>
    <t xml:space="preserve">Docker Compose files for dev and production</t>
  </si>
  <si>
    <t xml:space="preserve">Docker Compose</t>
  </si>
  <si>
    <t xml:space="preserve">T020</t>
  </si>
  <si>
    <t xml:space="preserve">Select and obtain hardware: mini PC or NAS, UPS, second drive for backups</t>
  </si>
  <si>
    <t xml:space="preserve">Hardware</t>
  </si>
  <si>
    <t xml:space="preserve">T021</t>
  </si>
  <si>
    <t xml:space="preserve">Install Ubuntu Server LTS with disk encryption (LUKS); SSH keys, no password login</t>
  </si>
  <si>
    <t xml:space="preserve">Ubuntu, LUKS</t>
  </si>
  <si>
    <t xml:space="preserve">T022</t>
  </si>
  <si>
    <t xml:space="preserve">Network: fixed IP (router reservation), local DNS name (e.g. kita.lan), firewall</t>
  </si>
  <si>
    <t xml:space="preserve">ufw, router</t>
  </si>
  <si>
    <t xml:space="preserve">T023</t>
  </si>
  <si>
    <t xml:space="preserve">Install Docker/Compose and deploy staging stack (PostgreSQL, API, web, Caddy)</t>
  </si>
  <si>
    <t xml:space="preserve">Docker Compose, Caddy</t>
  </si>
  <si>
    <t xml:space="preserve">T024</t>
  </si>
  <si>
    <t xml:space="preserve">HTTPS with local certificate authority; install root certificate on Kita PCs/tablets</t>
  </si>
  <si>
    <t xml:space="preserve">Caddy internal CA</t>
  </si>
  <si>
    <t xml:space="preserve">T025</t>
  </si>
  <si>
    <t xml:space="preserve">Mount shared network drive for photos/documents (database stays on the server disk)</t>
  </si>
  <si>
    <t xml:space="preserve">Storage</t>
  </si>
  <si>
    <t xml:space="preserve">SMB/NFS</t>
  </si>
  <si>
    <t xml:space="preserve">T026</t>
  </si>
  <si>
    <t xml:space="preserve">Backups: nightly pg_dump + photo sync to second drive; weekly encrypted off-site copy; restore test</t>
  </si>
  <si>
    <t xml:space="preserve">pg_dump, restic, cron</t>
  </si>
  <si>
    <t xml:space="preserve">T027</t>
  </si>
  <si>
    <t xml:space="preserve">Automatic security updates, UPS safe shutdown, disk/uptime alerts by email</t>
  </si>
  <si>
    <t xml:space="preserve">unattended-upgrades, NUT</t>
  </si>
  <si>
    <t xml:space="preserve">T028</t>
  </si>
  <si>
    <t xml:space="preserve">Admin runbook: restart, update, restore, add user</t>
  </si>
  <si>
    <t xml:space="preserve">T029</t>
  </si>
  <si>
    <t xml:space="preserve">Landing page with Login, Admin, Teacher, Guest entry points</t>
  </si>
  <si>
    <t xml:space="preserve">Landing page</t>
  </si>
  <si>
    <t xml:space="preserve">React</t>
  </si>
  <si>
    <t xml:space="preserve">T030</t>
  </si>
  <si>
    <t xml:space="preserve">Login with email/password (Gmail/GMX addresses as account ID), argon2 hashing, sessions/JWT</t>
  </si>
  <si>
    <t xml:space="preserve">Login</t>
  </si>
  <si>
    <t xml:space="preserve">FastAPI, argon2, JWT</t>
  </si>
  <si>
    <t xml:space="preserve">T031</t>
  </si>
  <si>
    <t xml:space="preserve">Email verification and password reset</t>
  </si>
  <si>
    <t xml:space="preserve">SMTP, FastAPI</t>
  </si>
  <si>
    <t xml:space="preserve">T032</t>
  </si>
  <si>
    <t xml:space="preserve">Optional: Google OAuth login (needs internet-reachable redirect; GMX stays email+password)</t>
  </si>
  <si>
    <t xml:space="preserve">Authlib</t>
  </si>
  <si>
    <t xml:space="preserve">Low</t>
  </si>
  <si>
    <t xml:space="preserve">T033</t>
  </si>
  <si>
    <t xml:space="preserve">Role-based access control (Admin, Teacher, Guest read-only)</t>
  </si>
  <si>
    <t xml:space="preserve">FastAPI dependencies</t>
  </si>
  <si>
    <t xml:space="preserve">T034</t>
  </si>
  <si>
    <t xml:space="preserve">Admin page: all users with access rights; change role; deactivate (admin only)</t>
  </si>
  <si>
    <t xml:space="preserve">Access rights page</t>
  </si>
  <si>
    <t xml:space="preserve">React, FastAPI</t>
  </si>
  <si>
    <t xml:space="preserve">T035</t>
  </si>
  <si>
    <t xml:space="preserve">Guest access: limited read-only view without personal data</t>
  </si>
  <si>
    <t xml:space="preserve">Guest</t>
  </si>
  <si>
    <t xml:space="preserve">T036</t>
  </si>
  <si>
    <t xml:space="preserve">Login rate limiting, account lockout, session timeout</t>
  </si>
  <si>
    <t xml:space="preserve">T037</t>
  </si>
  <si>
    <t xml:space="preserve">Kids CRUD API with admin-only write permissions</t>
  </si>
  <si>
    <t xml:space="preserve">Kids profile</t>
  </si>
  <si>
    <t xml:space="preserve">T038</t>
  </si>
  <si>
    <t xml:space="preserve">Profile form: photo, name, gender, language, food preferences, interests</t>
  </si>
  <si>
    <t xml:space="preserve">React, TypeScript</t>
  </si>
  <si>
    <t xml:space="preserve">T039</t>
  </si>
  <si>
    <t xml:space="preserve">Parents data: name, address, contact; link to children and siblings</t>
  </si>
  <si>
    <t xml:space="preserve">Parents</t>
  </si>
  <si>
    <t xml:space="preserve">T040</t>
  </si>
  <si>
    <t xml:space="preserve">Emergency contacts and authorised pick-up persons (with photo)</t>
  </si>
  <si>
    <t xml:space="preserve">Safety</t>
  </si>
  <si>
    <t xml:space="preserve">T041</t>
  </si>
  <si>
    <t xml:space="preserve">Allergy and medical alerts: banner on profile and group view, admin edit, teacher read</t>
  </si>
  <si>
    <t xml:space="preserve">T042</t>
  </si>
  <si>
    <t xml:space="preserve">Consent management: photo, excursion, data-protection consent with dates</t>
  </si>
  <si>
    <t xml:space="preserve">Consent</t>
  </si>
  <si>
    <t xml:space="preserve">T043</t>
  </si>
  <si>
    <t xml:space="preserve">Photo upload, thumbnails, gallery per child; hide photos without consent</t>
  </si>
  <si>
    <t xml:space="preserve">Photos</t>
  </si>
  <si>
    <t xml:space="preserve">Pillow, file storage</t>
  </si>
  <si>
    <t xml:space="preserve">T044</t>
  </si>
  <si>
    <t xml:space="preserve">Soft delete and archive with retention period (e.g. 12 months), then purge job</t>
  </si>
  <si>
    <t xml:space="preserve">Archive</t>
  </si>
  <si>
    <t xml:space="preserve">SQL, APScheduler</t>
  </si>
  <si>
    <t xml:space="preserve">T045</t>
  </si>
  <si>
    <t xml:space="preserve">Search, filter and list view of kids</t>
  </si>
  <si>
    <t xml:space="preserve">T046</t>
  </si>
  <si>
    <t xml:space="preserve">Restore from archive (admin)</t>
  </si>
  <si>
    <t xml:space="preserve">T047</t>
  </si>
  <si>
    <t xml:space="preserve">Group model and admin management of groups (Monkey, Butterflies, Insects…)</t>
  </si>
  <si>
    <t xml:space="preserve">Groups</t>
  </si>
  <si>
    <t xml:space="preserve">T048</t>
  </si>
  <si>
    <t xml:space="preserve">Group drop-down on landing page and group dashboard</t>
  </si>
  <si>
    <t xml:space="preserve">T049</t>
  </si>
  <si>
    <t xml:space="preserve">Assign kids and teachers to groups</t>
  </si>
  <si>
    <t xml:space="preserve">T050</t>
  </si>
  <si>
    <t xml:space="preserve">Agile board per group: To do / Doing / Done with drag and drop</t>
  </si>
  <si>
    <t xml:space="preserve">Task board</t>
  </si>
  <si>
    <t xml:space="preserve">React, dnd-kit</t>
  </si>
  <si>
    <t xml:space="preserve">T051</t>
  </si>
  <si>
    <t xml:space="preserve">Backlog with prioritisation, assignee, due date, labels</t>
  </si>
  <si>
    <t xml:space="preserve">T052</t>
  </si>
  <si>
    <t xml:space="preserve">Calendar view (month/week/agenda) per group and Kita-wide</t>
  </si>
  <si>
    <t xml:space="preserve">Calendar</t>
  </si>
  <si>
    <t xml:space="preserve">React, FullCalendar</t>
  </si>
  <si>
    <t xml:space="preserve">T053</t>
  </si>
  <si>
    <t xml:space="preserve">Import holidays (school and public holidays for your region)</t>
  </si>
  <si>
    <t xml:space="preserve">Python, iCal</t>
  </si>
  <si>
    <t xml:space="preserve">T054</t>
  </si>
  <si>
    <t xml:space="preserve">Create/edit events, recurrence, reminders</t>
  </si>
  <si>
    <t xml:space="preserve">T055</t>
  </si>
  <si>
    <t xml:space="preserve">Birthday reminders generated from kids profiles</t>
  </si>
  <si>
    <t xml:space="preserve">T056</t>
  </si>
  <si>
    <t xml:space="preserve">iCal export / subscription (optional)</t>
  </si>
  <si>
    <t xml:space="preserve">iCal</t>
  </si>
  <si>
    <t xml:space="preserve">T057</t>
  </si>
  <si>
    <t xml:space="preserve">Daily attendance: check-in / check-out per group, tablet-friendly</t>
  </si>
  <si>
    <t xml:space="preserve">Attendance</t>
  </si>
  <si>
    <t xml:space="preserve">T058</t>
  </si>
  <si>
    <t xml:space="preserve">Absence notes (sick, holiday) entered by staff</t>
  </si>
  <si>
    <t xml:space="preserve">T059</t>
  </si>
  <si>
    <t xml:space="preserve">Accident and incident log: date, child, what happened, who was informed</t>
  </si>
  <si>
    <t xml:space="preserve">Incidents</t>
  </si>
  <si>
    <t xml:space="preserve">T060</t>
  </si>
  <si>
    <t xml:space="preserve">Printable emergency / evacuation list (PDF) with contacts and allergies</t>
  </si>
  <si>
    <t xml:space="preserve">WeasyPrint</t>
  </si>
  <si>
    <t xml:space="preserve">T061</t>
  </si>
  <si>
    <t xml:space="preserve">'Today' dashboard per group: present kids, allergies, absences, birthdays</t>
  </si>
  <si>
    <t xml:space="preserve">T062</t>
  </si>
  <si>
    <t xml:space="preserve">Feedback button on every page: problem / change request / idea</t>
  </si>
  <si>
    <t xml:space="preserve">Feedback</t>
  </si>
  <si>
    <t xml:space="preserve">T063</t>
  </si>
  <si>
    <t xml:space="preserve">Store feedback and forward to developer (email / Azure DevOps work item)</t>
  </si>
  <si>
    <t xml:space="preserve">FastAPI, Azure DevOps API</t>
  </si>
  <si>
    <t xml:space="preserve">T064</t>
  </si>
  <si>
    <t xml:space="preserve">Automatic crash reporting (frontend + backend) with anonymised context</t>
  </si>
  <si>
    <t xml:space="preserve">Sentry self-hosted or custom handler</t>
  </si>
  <si>
    <t xml:space="preserve">T065</t>
  </si>
  <si>
    <t xml:space="preserve">Separate current and archived data: separate schema/views, clear archive section in UI</t>
  </si>
  <si>
    <t xml:space="preserve">Data separation</t>
  </si>
  <si>
    <t xml:space="preserve">PostgreSQL schemas</t>
  </si>
  <si>
    <t xml:space="preserve">T066</t>
  </si>
  <si>
    <t xml:space="preserve">Encryption in transit (HTTPS) check and field-level encryption for addresses and health data</t>
  </si>
  <si>
    <t xml:space="preserve">TLS, pgcrypto</t>
  </si>
  <si>
    <t xml:space="preserve">T067</t>
  </si>
  <si>
    <t xml:space="preserve">Audit log: who viewed or changed what</t>
  </si>
  <si>
    <t xml:space="preserve">SQL</t>
  </si>
  <si>
    <t xml:space="preserve">T068</t>
  </si>
  <si>
    <t xml:space="preserve">Parent data export and deletion tool (data-protection requests)</t>
  </si>
  <si>
    <t xml:space="preserve">T069</t>
  </si>
  <si>
    <t xml:space="preserve">Security review (OWASP Top 10), dependency scan</t>
  </si>
  <si>
    <t xml:space="preserve">Bandit, npm audit</t>
  </si>
  <si>
    <t xml:space="preserve">T070</t>
  </si>
  <si>
    <t xml:space="preserve">Unit and API tests (backend)</t>
  </si>
  <si>
    <t xml:space="preserve">Testing</t>
  </si>
  <si>
    <t xml:space="preserve">pytest</t>
  </si>
  <si>
    <t xml:space="preserve">T071</t>
  </si>
  <si>
    <t xml:space="preserve">Frontend component and end-to-end tests</t>
  </si>
  <si>
    <t xml:space="preserve">Vitest, Playwright</t>
  </si>
  <si>
    <t xml:space="preserve">T072</t>
  </si>
  <si>
    <t xml:space="preserve">Permission tests: teacher/guest cannot edit or delete kids</t>
  </si>
  <si>
    <t xml:space="preserve">T073</t>
  </si>
  <si>
    <t xml:space="preserve">Tests for allergy alerts, consent rules and archive/retention logic</t>
  </si>
  <si>
    <t xml:space="preserve">T074</t>
  </si>
  <si>
    <t xml:space="preserve">User acceptance test with Kita staff, collect findings</t>
  </si>
  <si>
    <t xml:space="preserve">Workshop</t>
  </si>
  <si>
    <t xml:space="preserve">Test manager</t>
  </si>
  <si>
    <t xml:space="preserve">T075</t>
  </si>
  <si>
    <t xml:space="preserve">Bug fixing and UX polish</t>
  </si>
  <si>
    <t xml:space="preserve">–</t>
  </si>
  <si>
    <t xml:space="preserve">T076</t>
  </si>
  <si>
    <t xml:space="preserve">Deploy production release on the Kita server; verify backups</t>
  </si>
  <si>
    <t xml:space="preserve">Deployment</t>
  </si>
  <si>
    <t xml:space="preserve">T077</t>
  </si>
  <si>
    <t xml:space="preserve">User manual and quick-start cards for basic users</t>
  </si>
  <si>
    <t xml:space="preserve">Training</t>
  </si>
  <si>
    <t xml:space="preserve">T078</t>
  </si>
  <si>
    <t xml:space="preserve">Staff training session and go-live</t>
  </si>
  <si>
    <t xml:space="preserve">T079</t>
  </si>
  <si>
    <t xml:space="preserve">Support, maintenance and release process</t>
  </si>
  <si>
    <t xml:space="preserve">Handover</t>
  </si>
  <si>
    <t xml:space="preserve">T080</t>
  </si>
  <si>
    <t xml:space="preserve">Parent role and portal login: read-only access to own child's data</t>
  </si>
  <si>
    <t xml:space="preserve">FastAPI, React</t>
  </si>
  <si>
    <t xml:space="preserve">T081</t>
  </si>
  <si>
    <t xml:space="preserve">Announcements and newsletters with email notification</t>
  </si>
  <si>
    <t xml:space="preserve">Communication</t>
  </si>
  <si>
    <t xml:space="preserve">T082</t>
  </si>
  <si>
    <t xml:space="preserve">Read receipts for announcements</t>
  </si>
  <si>
    <t xml:space="preserve">T083</t>
  </si>
  <si>
    <t xml:space="preserve">Teacher–parent messages</t>
  </si>
  <si>
    <t xml:space="preserve">T084</t>
  </si>
  <si>
    <t xml:space="preserve">Document templates (contracts, forms) with PDF export</t>
  </si>
  <si>
    <t xml:space="preserve">Documents</t>
  </si>
  <si>
    <t xml:space="preserve">T085</t>
  </si>
  <si>
    <t xml:space="preserve">Daily report: meals, nap, mood, diapers</t>
  </si>
  <si>
    <t xml:space="preserve">Daily report</t>
  </si>
  <si>
    <t xml:space="preserve">T086</t>
  </si>
  <si>
    <t xml:space="preserve">Development observations with photos; export for parent conversations</t>
  </si>
  <si>
    <t xml:space="preserve">Development</t>
  </si>
  <si>
    <t xml:space="preserve">T087</t>
  </si>
  <si>
    <t xml:space="preserve">Staff duty roster and absences</t>
  </si>
  <si>
    <t xml:space="preserve">Staff</t>
  </si>
  <si>
    <t xml:space="preserve">T088</t>
  </si>
  <si>
    <t xml:space="preserve">Staff-to-child ratio check per group</t>
  </si>
  <si>
    <t xml:space="preserve">T089</t>
  </si>
  <si>
    <t xml:space="preserve">Meal plan matched against allergies and food preferences</t>
  </si>
  <si>
    <t xml:space="preserve">Meals</t>
  </si>
  <si>
    <t xml:space="preserve">T090</t>
  </si>
  <si>
    <t xml:space="preserve">Waiting list and enrolment</t>
  </si>
  <si>
    <t xml:space="preserve">Enrolment</t>
  </si>
  <si>
    <t xml:space="preserve">T091</t>
  </si>
  <si>
    <t xml:space="preserve">Define AI use cases and privacy rules (no child data to external AI without approval)</t>
  </si>
  <si>
    <t xml:space="preserve">AI</t>
  </si>
  <si>
    <t xml:space="preserve">T092</t>
  </si>
  <si>
    <t xml:space="preserve">Local AI runtime on server (Ollama); check hardware needs</t>
  </si>
  <si>
    <t xml:space="preserve">Ollama</t>
  </si>
  <si>
    <t xml:space="preserve">T093</t>
  </si>
  <si>
    <t xml:space="preserve">Natural-language search over profiles, tasks, events</t>
  </si>
  <si>
    <t xml:space="preserve">Embeddings, pgvector</t>
  </si>
  <si>
    <t xml:space="preserve">T094</t>
  </si>
  <si>
    <t xml:space="preserve">AI draft assistant: parent letters, announcements, weekly/development summaries (teacher reviews)</t>
  </si>
  <si>
    <t xml:space="preserve">Local LLM</t>
  </si>
  <si>
    <t xml:space="preserve">T095</t>
  </si>
  <si>
    <t xml:space="preserve">Translate parent messages into the family's language (label as AI-translated)</t>
  </si>
  <si>
    <t xml:space="preserve">T096</t>
  </si>
  <si>
    <t xml:space="preserve">Activity suggestions from children's interests; task suggestions for the board</t>
  </si>
  <si>
    <t xml:space="preserve">T097</t>
  </si>
  <si>
    <t xml:space="preserve">In-app help assistant for basic users</t>
  </si>
  <si>
    <t xml:space="preserve">LLM, RAG over manual</t>
  </si>
  <si>
    <t xml:space="preserve">T098</t>
  </si>
  <si>
    <t xml:space="preserve">AI photo helper: tag/sort photos (no face recognition without consent)</t>
  </si>
  <si>
    <t xml:space="preserve">Vision model</t>
  </si>
  <si>
    <t xml:space="preserve">T099</t>
  </si>
  <si>
    <t xml:space="preserve">Tests for new modules (parent portal, daily report, roster, AI)</t>
  </si>
  <si>
    <t xml:space="preserve">pytest, Playwright</t>
  </si>
  <si>
    <t xml:space="preserve">T100</t>
  </si>
  <si>
    <t xml:space="preserve">User acceptance test with Kita staff and parent pilot group</t>
  </si>
  <si>
    <t xml:space="preserve">T101</t>
  </si>
  <si>
    <t xml:space="preserve">Bug fixing and polish</t>
  </si>
  <si>
    <t xml:space="preserve">T102</t>
  </si>
  <si>
    <t xml:space="preserve">Deploy Release 2 and train staff</t>
  </si>
  <si>
    <t xml:space="preserve">Total days</t>
  </si>
  <si>
    <t xml:space="preserve">Requirements Traceability</t>
  </si>
  <si>
    <t xml:space="preserve">R01–R17 are from your list, R18–R35 are the suggested additions. Priority uses MoSCoW (Must / Should / Could).</t>
  </si>
  <si>
    <t xml:space="preserve">Req ID</t>
  </si>
  <si>
    <t xml:space="preserve">Requirement</t>
  </si>
  <si>
    <t xml:space="preserve">Source</t>
  </si>
  <si>
    <t xml:space="preserve">Delivered in stage(s)</t>
  </si>
  <si>
    <t xml:space="preserve">Backlog tasks</t>
  </si>
  <si>
    <t xml:space="preserve">Verified in UAT?</t>
  </si>
  <si>
    <t xml:space="preserve">R01</t>
  </si>
  <si>
    <t xml:space="preserve">Web interface; landing page with Login, Admin, Teacher, Guest access</t>
  </si>
  <si>
    <t xml:space="preserve">Your list</t>
  </si>
  <si>
    <t xml:space="preserve">Must</t>
  </si>
  <si>
    <t xml:space="preserve">No</t>
  </si>
  <si>
    <t xml:space="preserve">R02</t>
  </si>
  <si>
    <t xml:space="preserve">Teacher accounts via Gmail or GMX</t>
  </si>
  <si>
    <t xml:space="preserve">R03</t>
  </si>
  <si>
    <t xml:space="preserve">Admin-only page listing all logins with access rights</t>
  </si>
  <si>
    <t xml:space="preserve">R04</t>
  </si>
  <si>
    <t xml:space="preserve">Secure data storage on local network, accessible to all Kita users</t>
  </si>
  <si>
    <t xml:space="preserve">S2, S3, S10, S12</t>
  </si>
  <si>
    <t xml:space="preserve">R05</t>
  </si>
  <si>
    <t xml:space="preserve">AI-powered application</t>
  </si>
  <si>
    <t xml:space="preserve">Should</t>
  </si>
  <si>
    <t xml:space="preserve">R06</t>
  </si>
  <si>
    <t xml:space="preserve">Kids profile create/edit/delete, admin only</t>
  </si>
  <si>
    <t xml:space="preserve">R07</t>
  </si>
  <si>
    <t xml:space="preserve">Profile content: photo, name, gender, language, food preferences, interests, photos</t>
  </si>
  <si>
    <t xml:space="preserve">R08</t>
  </si>
  <si>
    <t xml:space="preserve">Deleted profiles archived for a defined period</t>
  </si>
  <si>
    <t xml:space="preserve">S5, S10</t>
  </si>
  <si>
    <t xml:space="preserve">R09</t>
  </si>
  <si>
    <t xml:space="preserve">Parents data: name, address</t>
  </si>
  <si>
    <t xml:space="preserve">R10</t>
  </si>
  <si>
    <t xml:space="preserve">Multiple groups (Monkey, Butterflies, Insects…)</t>
  </si>
  <si>
    <t xml:space="preserve">R11</t>
  </si>
  <si>
    <t xml:space="preserve">Group selection via drop-down; group-specific data window</t>
  </si>
  <si>
    <t xml:space="preserve">R12</t>
  </si>
  <si>
    <t xml:space="preserve">Group tasks as agile board with backlog</t>
  </si>
  <si>
    <t xml:space="preserve">R13</t>
  </si>
  <si>
    <t xml:space="preserve">Calendar: holidays, updates, events</t>
  </si>
  <si>
    <t xml:space="preserve">R14</t>
  </si>
  <si>
    <t xml:space="preserve">Clear separation of current and archived data, easy access</t>
  </si>
  <si>
    <t xml:space="preserve">R15</t>
  </si>
  <si>
    <t xml:space="preserve">UX/HMI design for basic users</t>
  </si>
  <si>
    <t xml:space="preserve">S1, S11</t>
  </si>
  <si>
    <t xml:space="preserve">R16</t>
  </si>
  <si>
    <t xml:space="preserve">Report problems, change requests, ideas from the GUI</t>
  </si>
  <si>
    <t xml:space="preserve">R17</t>
  </si>
  <si>
    <t xml:space="preserve">Automatic crash reports to developers</t>
  </si>
  <si>
    <t xml:space="preserve">R18</t>
  </si>
  <si>
    <t xml:space="preserve">Allergy and medical alerts linked to food preferences</t>
  </si>
  <si>
    <t xml:space="preserve">Suggested</t>
  </si>
  <si>
    <t xml:space="preserve">S5, S8</t>
  </si>
  <si>
    <t xml:space="preserve">R19</t>
  </si>
  <si>
    <t xml:space="preserve">Emergency contacts and authorised pick-up persons</t>
  </si>
  <si>
    <t xml:space="preserve">R20</t>
  </si>
  <si>
    <t xml:space="preserve">Printable emergency / evacuation list</t>
  </si>
  <si>
    <t xml:space="preserve">R21</t>
  </si>
  <si>
    <t xml:space="preserve">Daily attendance and absence notes</t>
  </si>
  <si>
    <t xml:space="preserve">R22</t>
  </si>
  <si>
    <t xml:space="preserve">Consent management (photos, excursions, data); gallery respects consent</t>
  </si>
  <si>
    <t xml:space="preserve">R23</t>
  </si>
  <si>
    <t xml:space="preserve">Accident and incident log</t>
  </si>
  <si>
    <t xml:space="preserve">R24</t>
  </si>
  <si>
    <t xml:space="preserve">Birthday reminders in calendar</t>
  </si>
  <si>
    <t xml:space="preserve">R25</t>
  </si>
  <si>
    <t xml:space="preserve">Daily report (meals, nap, mood, diapers)</t>
  </si>
  <si>
    <t xml:space="preserve">R26</t>
  </si>
  <si>
    <t xml:space="preserve">Development observations and export for parent conversations</t>
  </si>
  <si>
    <t xml:space="preserve">R27</t>
  </si>
  <si>
    <t xml:space="preserve">Parent communication: portal, announcements, read receipts, messages</t>
  </si>
  <si>
    <t xml:space="preserve">R28</t>
  </si>
  <si>
    <t xml:space="preserve">Staff duty roster, absences and staff-to-child ratio</t>
  </si>
  <si>
    <t xml:space="preserve">R29</t>
  </si>
  <si>
    <t xml:space="preserve">Meal plan matched against allergies</t>
  </si>
  <si>
    <t xml:space="preserve">R30</t>
  </si>
  <si>
    <t xml:space="preserve">Could</t>
  </si>
  <si>
    <t xml:space="preserve">R31</t>
  </si>
  <si>
    <t xml:space="preserve">Document templates with PDF export</t>
  </si>
  <si>
    <t xml:space="preserve">R32</t>
  </si>
  <si>
    <t xml:space="preserve">Local AI: translation, drafting, suggestions, help assistant</t>
  </si>
  <si>
    <t xml:space="preserve">R33</t>
  </si>
  <si>
    <t xml:space="preserve">Tablet-friendly layout / progressive web app</t>
  </si>
  <si>
    <t xml:space="preserve">S1, S2, S11</t>
  </si>
  <si>
    <t xml:space="preserve">R34</t>
  </si>
  <si>
    <t xml:space="preserve">Audit log and parent data export/deletion</t>
  </si>
  <si>
    <t xml:space="preserve">R35</t>
  </si>
  <si>
    <t xml:space="preserve">German/English user interface</t>
  </si>
  <si>
    <t xml:space="preserve">S1, S2</t>
  </si>
  <si>
    <t xml:space="preserve">Server Setup Guide (Stage S3)</t>
  </si>
  <si>
    <t xml:space="preserve">Step-by-step checklist for the Kita server. Commands are examples; I will give exact commands for each step when you reach it.</t>
  </si>
  <si>
    <t xml:space="preserve">Step</t>
  </si>
  <si>
    <t xml:space="preserve">Action</t>
  </si>
  <si>
    <t xml:space="preserve">Example / detail</t>
  </si>
  <si>
    <t xml:space="preserve">Tool</t>
  </si>
  <si>
    <t xml:space="preserve">Done?</t>
  </si>
  <si>
    <t xml:space="preserve">Decide hardware: mini PC (16 GB RAM, 512 GB NVMe) or NAS that runs Docker; plus UPS and a second drive for backups</t>
  </si>
  <si>
    <t xml:space="preserve">Check what the Kita already has; for local AI later a stronger machine may be needed</t>
  </si>
  <si>
    <t xml:space="preserve">Install Ubuntu Server LTS; enable disk encryption (LUKS) during install</t>
  </si>
  <si>
    <t xml:space="preserve">Installer option 'encrypt the LVM group'</t>
  </si>
  <si>
    <t xml:space="preserve">LUKS</t>
  </si>
  <si>
    <t xml:space="preserve">Create admin user, enable SSH keys, disable password login</t>
  </si>
  <si>
    <t xml:space="preserve">ssh-copy-id; PasswordAuthentication no</t>
  </si>
  <si>
    <t xml:space="preserve">OpenSSH</t>
  </si>
  <si>
    <t xml:space="preserve">Reserve a fixed IP in the router and set a local name (e.g. kita.lan)</t>
  </si>
  <si>
    <t xml:space="preserve">DHCP reservation; local DNS entry in router</t>
  </si>
  <si>
    <t xml:space="preserve">Router</t>
  </si>
  <si>
    <t xml:space="preserve">Enable firewall: allow 22 (LAN only), 80, 443</t>
  </si>
  <si>
    <t xml:space="preserve">ufw allow from 192.168.0.0/16 to any port 22; ufw allow 80,443/tcp; ufw enable</t>
  </si>
  <si>
    <t xml:space="preserve">ufw</t>
  </si>
  <si>
    <t xml:space="preserve">Do not forward any ports on the router; the app stays local only</t>
  </si>
  <si>
    <t xml:space="preserve">Check router port-forwarding table is empty</t>
  </si>
  <si>
    <t xml:space="preserve">Install Docker Engine and Compose plugin</t>
  </si>
  <si>
    <t xml:space="preserve">Official Docker apt repository</t>
  </si>
  <si>
    <t xml:space="preserve">Deploy the stack: PostgreSQL, API, web frontend, Caddy</t>
  </si>
  <si>
    <t xml:space="preserve">docker compose up -d with .env for secrets</t>
  </si>
  <si>
    <t xml:space="preserve">Enable HTTPS with Caddy's internal CA; install the root certificate on Kita PCs and tablets</t>
  </si>
  <si>
    <t xml:space="preserve">Export root.crt; install in OS / browser trust store</t>
  </si>
  <si>
    <t xml:space="preserve">Caddy</t>
  </si>
  <si>
    <t xml:space="preserve">Mount the shared network drive for photos and documents (database stays on server disk)</t>
  </si>
  <si>
    <t xml:space="preserve">/etc/fstab entry for SMB/NFS share; restrict permissions</t>
  </si>
  <si>
    <t xml:space="preserve">Nightly database backup and photo sync to second drive</t>
  </si>
  <si>
    <t xml:space="preserve">cron: pg_dump | gzip; rsync -a</t>
  </si>
  <si>
    <t xml:space="preserve">pg_dump, rsync</t>
  </si>
  <si>
    <t xml:space="preserve">Weekly encrypted off-site backup (e.g. USB drive taken home or cloud storage in the EU/CH)</t>
  </si>
  <si>
    <t xml:space="preserve">restic backup with password stored separately</t>
  </si>
  <si>
    <t xml:space="preserve">restic</t>
  </si>
  <si>
    <t xml:space="preserve">Test a full restore on a spare machine or container; document the steps</t>
  </si>
  <si>
    <t xml:space="preserve">Restore dump into a fresh Postgres container</t>
  </si>
  <si>
    <t xml:space="preserve">pg_restore</t>
  </si>
  <si>
    <t xml:space="preserve">Turn on automatic security updates</t>
  </si>
  <si>
    <t xml:space="preserve">apt install unattended-upgrades</t>
  </si>
  <si>
    <t xml:space="preserve">unattended-upgrades</t>
  </si>
  <si>
    <t xml:space="preserve">Connect UPS and configure safe shutdown</t>
  </si>
  <si>
    <t xml:space="preserve">NUT (Network UPS Tools)</t>
  </si>
  <si>
    <t xml:space="preserve">NUT</t>
  </si>
  <si>
    <t xml:space="preserve">Add monitoring: disk space, uptime, backup success, email alert</t>
  </si>
  <si>
    <t xml:space="preserve">Simple script + cron, or Uptime Kuma</t>
  </si>
  <si>
    <t xml:space="preserve">Uptime Kuma</t>
  </si>
  <si>
    <t xml:space="preserve">Write the admin runbook (restart, update, restore, add/remove user)</t>
  </si>
  <si>
    <t xml:space="preserve">One page, printed and kept in the Kita office</t>
  </si>
  <si>
    <t xml:space="preserve">Steps done</t>
  </si>
  <si>
    <t xml:space="preserve">Rule: never put the PostgreSQL data folder on a network share – it can corrupt the database. Photos and documents may live on the share.</t>
  </si>
  <si>
    <t xml:space="preserve">Proposed Technology Stack</t>
  </si>
  <si>
    <t xml:space="preserve">Area</t>
  </si>
  <si>
    <t xml:space="preserve">Proposal</t>
  </si>
  <si>
    <t xml:space="preserve">Reason / note</t>
  </si>
  <si>
    <t xml:space="preserve">Backend language</t>
  </si>
  <si>
    <t xml:space="preserve">Python 3.12</t>
  </si>
  <si>
    <t xml:space="preserve">Requested language; strong AI ecosystem</t>
  </si>
  <si>
    <t xml:space="preserve">Backend framework</t>
  </si>
  <si>
    <t xml:space="preserve">Fast, typed, automatic API docs</t>
  </si>
  <si>
    <t xml:space="preserve">Frontend language</t>
  </si>
  <si>
    <t xml:space="preserve">TypeScript</t>
  </si>
  <si>
    <t xml:space="preserve">Requested; type safety reduces bugs</t>
  </si>
  <si>
    <t xml:space="preserve">Frontend framework</t>
  </si>
  <si>
    <t xml:space="preserve">React + Vite (PWA)</t>
  </si>
  <si>
    <t xml:space="preserve">Large ecosystem; installable on tablets</t>
  </si>
  <si>
    <t xml:space="preserve">UI library</t>
  </si>
  <si>
    <t xml:space="preserve">MUI or Mantine</t>
  </si>
  <si>
    <t xml:space="preserve">Accessible components, large touch targets</t>
  </si>
  <si>
    <t xml:space="preserve">PostgreSQL</t>
  </si>
  <si>
    <t xml:space="preserve">Reliable; schemas for current vs. archive; pgvector for AI search. Keep on the server's own disk, not on a network share</t>
  </si>
  <si>
    <t xml:space="preserve">ORM / migrations</t>
  </si>
  <si>
    <t xml:space="preserve">SQLAlchemy + Alembic</t>
  </si>
  <si>
    <t xml:space="preserve">Standard Python stack</t>
  </si>
  <si>
    <t xml:space="preserve">Authentication</t>
  </si>
  <si>
    <t xml:space="preserve">Email + password (argon2), JWT/session cookies; optional Google OAuth</t>
  </si>
  <si>
    <t xml:space="preserve">GMX has no standard third-party login; Google OAuth needs an internet-reachable redirect</t>
  </si>
  <si>
    <t xml:space="preserve">Server OS</t>
  </si>
  <si>
    <t xml:space="preserve">Ubuntu Server LTS with LUKS disk encryption</t>
  </si>
  <si>
    <t xml:space="preserve">Stable, well documented, long support</t>
  </si>
  <si>
    <t xml:space="preserve">Containers</t>
  </si>
  <si>
    <t xml:space="preserve">Simple install, update and rollback</t>
  </si>
  <si>
    <t xml:space="preserve">Reverse proxy / HTTPS</t>
  </si>
  <si>
    <t xml:space="preserve">Caddy with internal CA</t>
  </si>
  <si>
    <t xml:space="preserve">Automatic local certificates</t>
  </si>
  <si>
    <t xml:space="preserve">File storage</t>
  </si>
  <si>
    <t xml:space="preserve">Shared network folder (photos/documents), encrypted at rest</t>
  </si>
  <si>
    <t xml:space="preserve">Meets the local-network requirement</t>
  </si>
  <si>
    <t xml:space="preserve">Backup</t>
  </si>
  <si>
    <t xml:space="preserve">pg_dump + rsync to second drive; restic encrypted off-site</t>
  </si>
  <si>
    <t xml:space="preserve">Restore tested in S3</t>
  </si>
  <si>
    <t xml:space="preserve">Power / availability</t>
  </si>
  <si>
    <t xml:space="preserve">UPS with NUT safe shutdown</t>
  </si>
  <si>
    <t xml:space="preserve">Protects the database from power cuts</t>
  </si>
  <si>
    <t xml:space="preserve">dnd-kit</t>
  </si>
  <si>
    <t xml:space="preserve">Kanban drag and drop</t>
  </si>
  <si>
    <t xml:space="preserve">FullCalendar + iCal import</t>
  </si>
  <si>
    <t xml:space="preserve">Holidays and events</t>
  </si>
  <si>
    <t xml:space="preserve">PDF generation</t>
  </si>
  <si>
    <t xml:space="preserve">Emergency list, forms, reports</t>
  </si>
  <si>
    <t xml:space="preserve">Email</t>
  </si>
  <si>
    <t xml:space="preserve">Local SMTP relay or provider account</t>
  </si>
  <si>
    <t xml:space="preserve">Verification, notifications, feedback</t>
  </si>
  <si>
    <t xml:space="preserve">Local model via Ollama (preferred) – may need a stronger machine</t>
  </si>
  <si>
    <t xml:space="preserve">Children's data stays on-premises</t>
  </si>
  <si>
    <t xml:space="preserve">Crash reporting</t>
  </si>
  <si>
    <t xml:space="preserve">Self-hosted Sentry or custom error endpoint</t>
  </si>
  <si>
    <t xml:space="preserve">Automatic reports to developer</t>
  </si>
  <si>
    <t xml:space="preserve">Feedback routing</t>
  </si>
  <si>
    <t xml:space="preserve">Azure DevOps API / email</t>
  </si>
  <si>
    <t xml:space="preserve">Creates work items</t>
  </si>
  <si>
    <t xml:space="preserve">pytest, Vitest, Playwright</t>
  </si>
  <si>
    <t xml:space="preserve">Backend, component and end-to-end</t>
  </si>
  <si>
    <t xml:space="preserve">CI/CD</t>
  </si>
  <si>
    <t xml:space="preserve">GitHub Actions or Azure DevOps Pipelines</t>
  </si>
  <si>
    <t xml:space="preserve">Automated tests and builds</t>
  </si>
  <si>
    <t xml:space="preserve">Risk Register</t>
  </si>
  <si>
    <t xml:space="preserve">Probability and impact: 1 = low, 3 = high (blue = input). Score = probability × impact.</t>
  </si>
  <si>
    <t xml:space="preserve">Risk</t>
  </si>
  <si>
    <t xml:space="preserve">Probability (1-3)</t>
  </si>
  <si>
    <t xml:space="preserve">Impact (1-3)</t>
  </si>
  <si>
    <t xml:space="preserve">Score</t>
  </si>
  <si>
    <t xml:space="preserve">Rating</t>
  </si>
  <si>
    <t xml:space="preserve">Mitigation</t>
  </si>
  <si>
    <t xml:space="preserve">Owner</t>
  </si>
  <si>
    <t xml:space="preserve">K01</t>
  </si>
  <si>
    <t xml:space="preserve">Children's, parents' and health data; legal compliance (nDSG/DSGVO)</t>
  </si>
  <si>
    <t xml:space="preserve">Data-protection concept in S0, consent management, minimal data, audit log, encryption</t>
  </si>
  <si>
    <t xml:space="preserve">K02</t>
  </si>
  <si>
    <t xml:space="preserve">Allergy / medical information wrong or outdated</t>
  </si>
  <si>
    <t xml:space="preserve">Admin-only edit, review prompts, visible banners, tests in S11</t>
  </si>
  <si>
    <t xml:space="preserve">K03</t>
  </si>
  <si>
    <t xml:space="preserve">Staff find the UI too complicated</t>
  </si>
  <si>
    <t xml:space="preserve">Prototype tests in S1, large buttons, in-app help, training</t>
  </si>
  <si>
    <t xml:space="preserve">K04</t>
  </si>
  <si>
    <t xml:space="preserve">Local server unavailable or backups not working</t>
  </si>
  <si>
    <t xml:space="preserve">Automated backups, restore test in S3, UPS, monitoring alerts</t>
  </si>
  <si>
    <t xml:space="preserve">K05</t>
  </si>
  <si>
    <t xml:space="preserve">Hardware not yet available (purchase lead time)</t>
  </si>
  <si>
    <t xml:space="preserve">Decide in S0, order early, develop against Docker on your own machine meanwhile</t>
  </si>
  <si>
    <t xml:space="preserve">K06</t>
  </si>
  <si>
    <t xml:space="preserve">AI sends sensitive data to external services</t>
  </si>
  <si>
    <t xml:space="preserve">Local model, anonymise inputs, admin switch to disable AI</t>
  </si>
  <si>
    <t xml:space="preserve">K07</t>
  </si>
  <si>
    <t xml:space="preserve">Local AI needs stronger hardware than the Kita server</t>
  </si>
  <si>
    <t xml:space="preserve">Check in S15 first task; fall back to small models or cloud only for non-personal text</t>
  </si>
  <si>
    <t xml:space="preserve">K08</t>
  </si>
  <si>
    <t xml:space="preserve">AI translation or draft contains errors</t>
  </si>
  <si>
    <t xml:space="preserve">Teacher reviews before sending; label AI-generated text</t>
  </si>
  <si>
    <t xml:space="preserve">K09</t>
  </si>
  <si>
    <t xml:space="preserve">Parent portal increases attack surface</t>
  </si>
  <si>
    <t xml:space="preserve">Separate role, rate limiting, security review, delivered in Release 2</t>
  </si>
  <si>
    <t xml:space="preserve">K10</t>
  </si>
  <si>
    <t xml:space="preserve">Gmail/GMX login scope unclear (GMX has no third-party OAuth)</t>
  </si>
  <si>
    <t xml:space="preserve">Email + password with verification; Google OAuth optional</t>
  </si>
  <si>
    <t xml:space="preserve">K11</t>
  </si>
  <si>
    <t xml:space="preserve">Scope creep</t>
  </si>
  <si>
    <t xml:space="preserve">MoSCoW, two releases, change requests via feedback form</t>
  </si>
  <si>
    <t xml:space="preserve">K12</t>
  </si>
  <si>
    <t xml:space="preserve">Single developer: long timeline and dependency on one person</t>
  </si>
  <si>
    <t xml:space="preserve">Release 1 early with pilot, documentation, clean code, CI; adjust availability input in Stages</t>
  </si>
  <si>
    <t xml:space="preserve">K13</t>
  </si>
  <si>
    <t xml:space="preserve">Photo storage grows quickly</t>
  </si>
  <si>
    <t xml:space="preserve">Thumbnails, size limits, storage monitoring</t>
  </si>
  <si>
    <t xml:space="preserve">K14</t>
  </si>
  <si>
    <t xml:space="preserve">Accidental deletion or data loss</t>
  </si>
  <si>
    <t xml:space="preserve">Admin-only delete, archive period, backups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</si>
</sst>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0"/>
    <numFmt numFmtId="167" formatCode="0%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  <sz val="10"/>
      </font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Stages!G9</f>
        <v>46316</v>
      </c>
    </row>
    <row r="5" customFormat="false" ht="15" hidden="false" customHeight="false" outlineLevel="0" collapsed="false">
      <c r="A5" s="3" t="s">
        <v>3</v>
      </c>
      <c r="B5" s="4" t="n">
        <f aca="false">Stages!H21</f>
        <v>46651</v>
      </c>
    </row>
    <row r="6" customFormat="false" ht="15" hidden="false" customHeight="false" outlineLevel="0" collapsed="false">
      <c r="A6" s="3" t="s">
        <v>4</v>
      </c>
      <c r="B6" s="4" t="n">
        <f aca="false">Stages!H25</f>
        <v>46784</v>
      </c>
    </row>
    <row r="7" customFormat="false" ht="15" hidden="false" customHeight="false" outlineLevel="0" collapsed="false">
      <c r="A7" s="3" t="s">
        <v>5</v>
      </c>
      <c r="B7" s="5" t="n">
        <f aca="false">Stages!F26</f>
        <v>67</v>
      </c>
    </row>
    <row r="8" customFormat="false" ht="15" hidden="false" customHeight="false" outlineLevel="0" collapsed="false">
      <c r="A8" s="3" t="s">
        <v>6</v>
      </c>
      <c r="B8" s="5" t="n">
        <f aca="false">COUNTA(Stages!A9:A25)</f>
        <v>17</v>
      </c>
    </row>
    <row r="9" customFormat="false" ht="15" hidden="false" customHeight="false" outlineLevel="0" collapsed="false">
      <c r="A9" s="3" t="s">
        <v>7</v>
      </c>
      <c r="B9" s="5" t="n">
        <f aca="false">COUNTA(Backlog!A5:A106)</f>
        <v>102</v>
      </c>
    </row>
    <row r="10" customFormat="false" ht="15" hidden="false" customHeight="false" outlineLevel="0" collapsed="false">
      <c r="A10" s="3" t="s">
        <v>8</v>
      </c>
      <c r="B10" s="5" t="n">
        <f aca="false">SUMIFS(Backlog!I5:I106,Backlog!D5:D106,"Release 1")</f>
        <v>179</v>
      </c>
    </row>
    <row r="11" customFormat="false" ht="15" hidden="false" customHeight="false" outlineLevel="0" collapsed="false">
      <c r="A11" s="3" t="s">
        <v>9</v>
      </c>
      <c r="B11" s="5" t="n">
        <f aca="false">SUMIFS(Backlog!I5:I106,Backlog!D5:D106,"Release 2")</f>
        <v>74</v>
      </c>
    </row>
    <row r="12" customFormat="false" ht="15" hidden="false" customHeight="false" outlineLevel="0" collapsed="false">
      <c r="A12" s="3" t="s">
        <v>10</v>
      </c>
      <c r="B12" s="5" t="n">
        <f aca="false">Backlog!I107</f>
        <v>253</v>
      </c>
    </row>
    <row r="13" customFormat="false" ht="15" hidden="false" customHeight="false" outlineLevel="0" collapsed="false">
      <c r="A13" s="3" t="s">
        <v>11</v>
      </c>
      <c r="B13" s="5" t="n">
        <f aca="false">COUNTIF(Backlog!K5:K106,"Done")</f>
        <v>0</v>
      </c>
    </row>
    <row r="14" customFormat="false" ht="15" hidden="false" customHeight="false" outlineLevel="0" collapsed="false">
      <c r="A14" s="3" t="s">
        <v>12</v>
      </c>
      <c r="B14" s="6" t="n">
        <f aca="false">IF(B9=0,0,B13/B9)</f>
        <v>0</v>
      </c>
    </row>
    <row r="15" customFormat="false" ht="15" hidden="false" customHeight="false" outlineLevel="0" collapsed="false">
      <c r="A15" s="3" t="s">
        <v>13</v>
      </c>
      <c r="B15" s="5" t="n">
        <f aca="false">COUNTIF(Risks!F5:F18,"High")</f>
        <v>9</v>
      </c>
    </row>
    <row r="18" customFormat="false" ht="15" hidden="false" customHeight="false" outlineLevel="0" collapsed="false">
      <c r="A18" s="7" t="s">
        <v>14</v>
      </c>
    </row>
    <row r="19" customFormat="false" ht="15" hidden="false" customHeight="false" outlineLevel="0" collapsed="false">
      <c r="A19" s="8" t="s">
        <v>15</v>
      </c>
      <c r="B19" s="9" t="s">
        <v>16</v>
      </c>
    </row>
    <row r="20" customFormat="false" ht="15" hidden="false" customHeight="false" outlineLevel="0" collapsed="false">
      <c r="A20" s="8" t="s">
        <v>17</v>
      </c>
      <c r="B20" s="9" t="s">
        <v>18</v>
      </c>
    </row>
    <row r="21" customFormat="false" ht="15" hidden="false" customHeight="false" outlineLevel="0" collapsed="false">
      <c r="A21" s="8" t="s">
        <v>19</v>
      </c>
      <c r="B21" s="9" t="s">
        <v>20</v>
      </c>
    </row>
    <row r="22" customFormat="false" ht="15" hidden="false" customHeight="false" outlineLevel="0" collapsed="false">
      <c r="A22" s="8" t="s">
        <v>21</v>
      </c>
      <c r="B22" s="9" t="s">
        <v>22</v>
      </c>
    </row>
    <row r="23" customFormat="false" ht="15" hidden="false" customHeight="false" outlineLevel="0" collapsed="false">
      <c r="A23" s="8" t="s">
        <v>23</v>
      </c>
      <c r="B23" s="9" t="s">
        <v>24</v>
      </c>
    </row>
    <row r="24" customFormat="false" ht="15" hidden="false" customHeight="false" outlineLevel="0" collapsed="false">
      <c r="A24" s="8" t="s">
        <v>25</v>
      </c>
      <c r="B24" s="9" t="s">
        <v>26</v>
      </c>
    </row>
    <row r="26" customFormat="false" ht="15" hidden="false" customHeight="false" outlineLevel="0" collapsed="false">
      <c r="A26" s="2" t="s">
        <v>27</v>
      </c>
    </row>
    <row r="27" customFormat="false" ht="15" hidden="false" customHeight="false" outlineLevel="0" collapsed="false">
      <c r="A27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62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9" min="9" style="0" width="40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10" t="s">
        <v>30</v>
      </c>
    </row>
    <row r="3" customFormat="false" ht="15" hidden="false" customHeight="false" outlineLevel="0" collapsed="false">
      <c r="A3" s="8" t="s">
        <v>31</v>
      </c>
      <c r="B3" s="11" t="n">
        <v>46316</v>
      </c>
      <c r="C3" s="10" t="s">
        <v>32</v>
      </c>
    </row>
    <row r="4" customFormat="false" ht="15" hidden="false" customHeight="false" outlineLevel="0" collapsed="false">
      <c r="A4" s="8" t="s">
        <v>33</v>
      </c>
      <c r="B4" s="12" t="n">
        <v>0.2</v>
      </c>
      <c r="C4" s="10" t="s">
        <v>34</v>
      </c>
    </row>
    <row r="5" customFormat="false" ht="15" hidden="false" customHeight="false" outlineLevel="0" collapsed="false">
      <c r="A5" s="8" t="s">
        <v>35</v>
      </c>
      <c r="B5" s="13" t="n">
        <v>5</v>
      </c>
      <c r="C5" s="10" t="s">
        <v>36</v>
      </c>
    </row>
    <row r="6" customFormat="false" ht="15" hidden="false" customHeight="false" outlineLevel="0" collapsed="false">
      <c r="A6" s="10" t="s">
        <v>37</v>
      </c>
    </row>
    <row r="8" customFormat="false" ht="23.85" hidden="false" customHeight="false" outlineLevel="0" collapsed="false">
      <c r="A8" s="14" t="s">
        <v>38</v>
      </c>
      <c r="B8" s="14" t="s">
        <v>39</v>
      </c>
      <c r="C8" s="14" t="s">
        <v>40</v>
      </c>
      <c r="D8" s="14" t="s">
        <v>41</v>
      </c>
      <c r="E8" s="14" t="s">
        <v>42</v>
      </c>
      <c r="F8" s="14" t="s">
        <v>43</v>
      </c>
      <c r="G8" s="14" t="s">
        <v>44</v>
      </c>
      <c r="H8" s="14" t="s">
        <v>45</v>
      </c>
      <c r="I8" s="14" t="s">
        <v>46</v>
      </c>
      <c r="J8" s="14" t="s">
        <v>47</v>
      </c>
    </row>
    <row r="9" customFormat="false" ht="23.85" hidden="false" customHeight="false" outlineLevel="0" collapsed="false">
      <c r="A9" s="15" t="s">
        <v>48</v>
      </c>
      <c r="B9" s="15" t="s">
        <v>49</v>
      </c>
      <c r="C9" s="15" t="s">
        <v>50</v>
      </c>
      <c r="D9" s="15" t="s">
        <v>51</v>
      </c>
      <c r="E9" s="16" t="n">
        <f aca="false">SUMIFS(Backlog!$I$5:$I$106,Backlog!$B$5:$B$106,A9)</f>
        <v>10</v>
      </c>
      <c r="F9" s="15" t="n">
        <f aca="false">MAX(1,ROUNDUP(E9*(1+$B$4)/$B$5,0))</f>
        <v>3</v>
      </c>
      <c r="G9" s="17" t="n">
        <f aca="false">WORKDAY($B$3-1,1)</f>
        <v>46316</v>
      </c>
      <c r="H9" s="17" t="n">
        <f aca="false">WORKDAY(G9,F9*5-1)</f>
        <v>46336</v>
      </c>
      <c r="I9" s="15" t="s">
        <v>52</v>
      </c>
      <c r="J9" s="18" t="s">
        <v>53</v>
      </c>
    </row>
    <row r="10" customFormat="false" ht="23.85" hidden="false" customHeight="false" outlineLevel="0" collapsed="false">
      <c r="A10" s="15" t="s">
        <v>54</v>
      </c>
      <c r="B10" s="15" t="s">
        <v>55</v>
      </c>
      <c r="C10" s="15" t="s">
        <v>50</v>
      </c>
      <c r="D10" s="15" t="s">
        <v>56</v>
      </c>
      <c r="E10" s="16" t="n">
        <f aca="false">SUMIFS(Backlog!$I$5:$I$106,Backlog!$B$5:$B$106,A10)</f>
        <v>14</v>
      </c>
      <c r="F10" s="15" t="n">
        <f aca="false">MAX(1,ROUNDUP(E10*(1+$B$4)/$B$5,0))</f>
        <v>4</v>
      </c>
      <c r="G10" s="17" t="n">
        <f aca="false">WORKDAY(H9,1)</f>
        <v>46337</v>
      </c>
      <c r="H10" s="17" t="n">
        <f aca="false">WORKDAY(G10,F10*5-1)</f>
        <v>46364</v>
      </c>
      <c r="I10" s="15" t="s">
        <v>57</v>
      </c>
      <c r="J10" s="18" t="s">
        <v>53</v>
      </c>
    </row>
    <row r="11" customFormat="false" ht="23.85" hidden="false" customHeight="false" outlineLevel="0" collapsed="false">
      <c r="A11" s="15" t="s">
        <v>58</v>
      </c>
      <c r="B11" s="15" t="s">
        <v>59</v>
      </c>
      <c r="C11" s="15" t="s">
        <v>50</v>
      </c>
      <c r="D11" s="15" t="s">
        <v>60</v>
      </c>
      <c r="E11" s="16" t="n">
        <f aca="false">SUMIFS(Backlog!$I$5:$I$106,Backlog!$B$5:$B$106,A11)</f>
        <v>12</v>
      </c>
      <c r="F11" s="15" t="n">
        <f aca="false">MAX(1,ROUNDUP(E11*(1+$B$4)/$B$5,0))</f>
        <v>3</v>
      </c>
      <c r="G11" s="17" t="n">
        <f aca="false">WORKDAY(H10,1)</f>
        <v>46365</v>
      </c>
      <c r="H11" s="17" t="n">
        <f aca="false">WORKDAY(G11,F11*5-1)</f>
        <v>46385</v>
      </c>
      <c r="I11" s="15" t="s">
        <v>61</v>
      </c>
      <c r="J11" s="18" t="s">
        <v>53</v>
      </c>
    </row>
    <row r="12" customFormat="false" ht="23.85" hidden="false" customHeight="false" outlineLevel="0" collapsed="false">
      <c r="A12" s="15" t="s">
        <v>62</v>
      </c>
      <c r="B12" s="15" t="s">
        <v>63</v>
      </c>
      <c r="C12" s="15" t="s">
        <v>50</v>
      </c>
      <c r="D12" s="15" t="s">
        <v>64</v>
      </c>
      <c r="E12" s="16" t="n">
        <f aca="false">SUMIFS(Backlog!$I$5:$I$106,Backlog!$B$5:$B$106,A12)</f>
        <v>11</v>
      </c>
      <c r="F12" s="15" t="n">
        <f aca="false">MAX(1,ROUNDUP(E12*(1+$B$4)/$B$5,0))</f>
        <v>3</v>
      </c>
      <c r="G12" s="17" t="n">
        <f aca="false">WORKDAY(H11,1)</f>
        <v>46386</v>
      </c>
      <c r="H12" s="17" t="n">
        <f aca="false">WORKDAY(G12,F12*5-1)</f>
        <v>46406</v>
      </c>
      <c r="I12" s="15" t="s">
        <v>65</v>
      </c>
      <c r="J12" s="18" t="s">
        <v>53</v>
      </c>
    </row>
    <row r="13" customFormat="false" ht="15" hidden="false" customHeight="false" outlineLevel="0" collapsed="false">
      <c r="A13" s="15" t="s">
        <v>66</v>
      </c>
      <c r="B13" s="15" t="s">
        <v>67</v>
      </c>
      <c r="C13" s="15" t="s">
        <v>50</v>
      </c>
      <c r="D13" s="15" t="s">
        <v>68</v>
      </c>
      <c r="E13" s="16" t="n">
        <f aca="false">SUMIFS(Backlog!$I$5:$I$106,Backlog!$B$5:$B$106,A13)</f>
        <v>20</v>
      </c>
      <c r="F13" s="15" t="n">
        <f aca="false">MAX(1,ROUNDUP(E13*(1+$B$4)/$B$5,0))</f>
        <v>5</v>
      </c>
      <c r="G13" s="17" t="n">
        <f aca="false">WORKDAY(H12,1)</f>
        <v>46407</v>
      </c>
      <c r="H13" s="17" t="n">
        <f aca="false">WORKDAY(G13,F13*5-1)</f>
        <v>46441</v>
      </c>
      <c r="I13" s="15" t="s">
        <v>69</v>
      </c>
      <c r="J13" s="18" t="s">
        <v>53</v>
      </c>
    </row>
    <row r="14" customFormat="false" ht="23.85" hidden="false" customHeight="false" outlineLevel="0" collapsed="false">
      <c r="A14" s="15" t="s">
        <v>70</v>
      </c>
      <c r="B14" s="15" t="s">
        <v>71</v>
      </c>
      <c r="C14" s="15" t="s">
        <v>50</v>
      </c>
      <c r="D14" s="15" t="s">
        <v>72</v>
      </c>
      <c r="E14" s="16" t="n">
        <f aca="false">SUMIFS(Backlog!$I$5:$I$106,Backlog!$B$5:$B$106,A14)</f>
        <v>29</v>
      </c>
      <c r="F14" s="15" t="n">
        <f aca="false">MAX(1,ROUNDUP(E14*(1+$B$4)/$B$5,0))</f>
        <v>7</v>
      </c>
      <c r="G14" s="17" t="n">
        <f aca="false">WORKDAY(H13,1)</f>
        <v>46442</v>
      </c>
      <c r="H14" s="17" t="n">
        <f aca="false">WORKDAY(G14,F14*5-1)</f>
        <v>46490</v>
      </c>
      <c r="I14" s="15" t="s">
        <v>73</v>
      </c>
      <c r="J14" s="18" t="s">
        <v>53</v>
      </c>
    </row>
    <row r="15" customFormat="false" ht="15" hidden="false" customHeight="false" outlineLevel="0" collapsed="false">
      <c r="A15" s="15" t="s">
        <v>74</v>
      </c>
      <c r="B15" s="15" t="s">
        <v>75</v>
      </c>
      <c r="C15" s="15" t="s">
        <v>50</v>
      </c>
      <c r="D15" s="15" t="s">
        <v>76</v>
      </c>
      <c r="E15" s="16" t="n">
        <f aca="false">SUMIFS(Backlog!$I$5:$I$106,Backlog!$B$5:$B$106,A15)</f>
        <v>15</v>
      </c>
      <c r="F15" s="15" t="n">
        <f aca="false">MAX(1,ROUNDUP(E15*(1+$B$4)/$B$5,0))</f>
        <v>4</v>
      </c>
      <c r="G15" s="17" t="n">
        <f aca="false">WORKDAY(H14,1)</f>
        <v>46491</v>
      </c>
      <c r="H15" s="17" t="n">
        <f aca="false">WORKDAY(G15,F15*5-1)</f>
        <v>46518</v>
      </c>
      <c r="I15" s="15" t="s">
        <v>77</v>
      </c>
      <c r="J15" s="18" t="s">
        <v>53</v>
      </c>
    </row>
    <row r="16" customFormat="false" ht="15" hidden="false" customHeight="false" outlineLevel="0" collapsed="false">
      <c r="A16" s="15" t="s">
        <v>78</v>
      </c>
      <c r="B16" s="15" t="s">
        <v>79</v>
      </c>
      <c r="C16" s="15" t="s">
        <v>50</v>
      </c>
      <c r="D16" s="15" t="s">
        <v>80</v>
      </c>
      <c r="E16" s="16" t="n">
        <f aca="false">SUMIFS(Backlog!$I$5:$I$106,Backlog!$B$5:$B$106,A16)</f>
        <v>10</v>
      </c>
      <c r="F16" s="15" t="n">
        <f aca="false">MAX(1,ROUNDUP(E16*(1+$B$4)/$B$5,0))</f>
        <v>3</v>
      </c>
      <c r="G16" s="17" t="n">
        <f aca="false">WORKDAY(H15,1)</f>
        <v>46519</v>
      </c>
      <c r="H16" s="17" t="n">
        <f aca="false">WORKDAY(G16,F16*5-1)</f>
        <v>46539</v>
      </c>
      <c r="I16" s="15" t="s">
        <v>81</v>
      </c>
      <c r="J16" s="18" t="s">
        <v>53</v>
      </c>
    </row>
    <row r="17" customFormat="false" ht="23.85" hidden="false" customHeight="false" outlineLevel="0" collapsed="false">
      <c r="A17" s="15" t="s">
        <v>82</v>
      </c>
      <c r="B17" s="15" t="s">
        <v>83</v>
      </c>
      <c r="C17" s="15" t="s">
        <v>50</v>
      </c>
      <c r="D17" s="15" t="s">
        <v>84</v>
      </c>
      <c r="E17" s="16" t="n">
        <f aca="false">SUMIFS(Backlog!$I$5:$I$106,Backlog!$B$5:$B$106,A17)</f>
        <v>13</v>
      </c>
      <c r="F17" s="15" t="n">
        <f aca="false">MAX(1,ROUNDUP(E17*(1+$B$4)/$B$5,0))</f>
        <v>4</v>
      </c>
      <c r="G17" s="17" t="n">
        <f aca="false">WORKDAY(H16,1)</f>
        <v>46540</v>
      </c>
      <c r="H17" s="17" t="n">
        <f aca="false">WORKDAY(G17,F17*5-1)</f>
        <v>46567</v>
      </c>
      <c r="I17" s="15" t="s">
        <v>85</v>
      </c>
      <c r="J17" s="18" t="s">
        <v>53</v>
      </c>
    </row>
    <row r="18" customFormat="false" ht="15" hidden="false" customHeight="false" outlineLevel="0" collapsed="false">
      <c r="A18" s="15" t="s">
        <v>86</v>
      </c>
      <c r="B18" s="15" t="s">
        <v>87</v>
      </c>
      <c r="C18" s="15" t="s">
        <v>50</v>
      </c>
      <c r="D18" s="15" t="s">
        <v>88</v>
      </c>
      <c r="E18" s="16" t="n">
        <f aca="false">SUMIFS(Backlog!$I$5:$I$106,Backlog!$B$5:$B$106,A18)</f>
        <v>8</v>
      </c>
      <c r="F18" s="15" t="n">
        <f aca="false">MAX(1,ROUNDUP(E18*(1+$B$4)/$B$5,0))</f>
        <v>2</v>
      </c>
      <c r="G18" s="17" t="n">
        <f aca="false">WORKDAY(H17,1)</f>
        <v>46568</v>
      </c>
      <c r="H18" s="17" t="n">
        <f aca="false">WORKDAY(G18,F18*5-1)</f>
        <v>46581</v>
      </c>
      <c r="I18" s="15" t="s">
        <v>89</v>
      </c>
      <c r="J18" s="18" t="s">
        <v>53</v>
      </c>
    </row>
    <row r="19" customFormat="false" ht="23.85" hidden="false" customHeight="false" outlineLevel="0" collapsed="false">
      <c r="A19" s="15" t="s">
        <v>90</v>
      </c>
      <c r="B19" s="15" t="s">
        <v>91</v>
      </c>
      <c r="C19" s="15" t="s">
        <v>50</v>
      </c>
      <c r="D19" s="15" t="s">
        <v>92</v>
      </c>
      <c r="E19" s="16" t="n">
        <f aca="false">SUMIFS(Backlog!$I$5:$I$106,Backlog!$B$5:$B$106,A19)</f>
        <v>12</v>
      </c>
      <c r="F19" s="15" t="n">
        <f aca="false">MAX(1,ROUNDUP(E19*(1+$B$4)/$B$5,0))</f>
        <v>3</v>
      </c>
      <c r="G19" s="17" t="n">
        <f aca="false">WORKDAY(H18,1)</f>
        <v>46582</v>
      </c>
      <c r="H19" s="17" t="n">
        <f aca="false">WORKDAY(G19,F19*5-1)</f>
        <v>46602</v>
      </c>
      <c r="I19" s="15" t="s">
        <v>93</v>
      </c>
      <c r="J19" s="18" t="s">
        <v>53</v>
      </c>
    </row>
    <row r="20" customFormat="false" ht="15" hidden="false" customHeight="false" outlineLevel="0" collapsed="false">
      <c r="A20" s="15" t="s">
        <v>94</v>
      </c>
      <c r="B20" s="15" t="s">
        <v>95</v>
      </c>
      <c r="C20" s="15" t="s">
        <v>50</v>
      </c>
      <c r="D20" s="15" t="s">
        <v>96</v>
      </c>
      <c r="E20" s="16" t="n">
        <f aca="false">SUMIFS(Backlog!$I$5:$I$106,Backlog!$B$5:$B$106,A20)</f>
        <v>18</v>
      </c>
      <c r="F20" s="15" t="n">
        <f aca="false">MAX(1,ROUNDUP(E20*(1+$B$4)/$B$5,0))</f>
        <v>5</v>
      </c>
      <c r="G20" s="17" t="n">
        <f aca="false">WORKDAY(H19,1)</f>
        <v>46603</v>
      </c>
      <c r="H20" s="17" t="n">
        <f aca="false">WORKDAY(G20,F20*5-1)</f>
        <v>46637</v>
      </c>
      <c r="I20" s="15" t="s">
        <v>97</v>
      </c>
      <c r="J20" s="18" t="s">
        <v>53</v>
      </c>
    </row>
    <row r="21" customFormat="false" ht="15" hidden="false" customHeight="false" outlineLevel="0" collapsed="false">
      <c r="A21" s="15" t="s">
        <v>98</v>
      </c>
      <c r="B21" s="15" t="s">
        <v>99</v>
      </c>
      <c r="C21" s="15" t="s">
        <v>50</v>
      </c>
      <c r="D21" s="15" t="s">
        <v>100</v>
      </c>
      <c r="E21" s="16" t="n">
        <f aca="false">SUMIFS(Backlog!$I$5:$I$106,Backlog!$B$5:$B$106,A21)</f>
        <v>7</v>
      </c>
      <c r="F21" s="15" t="n">
        <f aca="false">MAX(1,ROUNDUP(E21*(1+$B$4)/$B$5,0))</f>
        <v>2</v>
      </c>
      <c r="G21" s="17" t="n">
        <f aca="false">WORKDAY(H20,1)</f>
        <v>46638</v>
      </c>
      <c r="H21" s="17" t="n">
        <f aca="false">WORKDAY(G21,F21*5-1)</f>
        <v>46651</v>
      </c>
      <c r="I21" s="15" t="s">
        <v>101</v>
      </c>
      <c r="J21" s="18" t="s">
        <v>53</v>
      </c>
    </row>
    <row r="22" customFormat="false" ht="23.85" hidden="false" customHeight="false" outlineLevel="0" collapsed="false">
      <c r="A22" s="19" t="s">
        <v>102</v>
      </c>
      <c r="B22" s="19" t="s">
        <v>103</v>
      </c>
      <c r="C22" s="19" t="s">
        <v>104</v>
      </c>
      <c r="D22" s="19" t="s">
        <v>105</v>
      </c>
      <c r="E22" s="20" t="n">
        <f aca="false">SUMIFS(Backlog!$I$5:$I$106,Backlog!$B$5:$B$106,A22)</f>
        <v>16</v>
      </c>
      <c r="F22" s="19" t="n">
        <f aca="false">MAX(1,ROUNDUP(E22*(1+$B$4)/$B$5,0))</f>
        <v>4</v>
      </c>
      <c r="G22" s="21" t="n">
        <f aca="false">WORKDAY(H21,1)</f>
        <v>46652</v>
      </c>
      <c r="H22" s="21" t="n">
        <f aca="false">WORKDAY(G22,F22*5-1)</f>
        <v>46679</v>
      </c>
      <c r="I22" s="19" t="s">
        <v>106</v>
      </c>
      <c r="J22" s="22" t="s">
        <v>53</v>
      </c>
    </row>
    <row r="23" customFormat="false" ht="15" hidden="false" customHeight="false" outlineLevel="0" collapsed="false">
      <c r="A23" s="19" t="s">
        <v>107</v>
      </c>
      <c r="B23" s="19" t="s">
        <v>108</v>
      </c>
      <c r="C23" s="19" t="s">
        <v>104</v>
      </c>
      <c r="D23" s="19" t="s">
        <v>109</v>
      </c>
      <c r="E23" s="20" t="n">
        <f aca="false">SUMIFS(Backlog!$I$5:$I$106,Backlog!$B$5:$B$106,A23)</f>
        <v>20</v>
      </c>
      <c r="F23" s="19" t="n">
        <f aca="false">MAX(1,ROUNDUP(E23*(1+$B$4)/$B$5,0))</f>
        <v>5</v>
      </c>
      <c r="G23" s="21" t="n">
        <f aca="false">WORKDAY(H22,1)</f>
        <v>46680</v>
      </c>
      <c r="H23" s="21" t="n">
        <f aca="false">WORKDAY(G23,F23*5-1)</f>
        <v>46714</v>
      </c>
      <c r="I23" s="19" t="s">
        <v>110</v>
      </c>
      <c r="J23" s="22" t="s">
        <v>53</v>
      </c>
    </row>
    <row r="24" customFormat="false" ht="15" hidden="false" customHeight="false" outlineLevel="0" collapsed="false">
      <c r="A24" s="19" t="s">
        <v>111</v>
      </c>
      <c r="B24" s="19" t="s">
        <v>112</v>
      </c>
      <c r="C24" s="19" t="s">
        <v>104</v>
      </c>
      <c r="D24" s="19" t="s">
        <v>113</v>
      </c>
      <c r="E24" s="20" t="n">
        <f aca="false">SUMIFS(Backlog!$I$5:$I$106,Backlog!$B$5:$B$106,A24)</f>
        <v>24</v>
      </c>
      <c r="F24" s="19" t="n">
        <f aca="false">MAX(1,ROUNDUP(E24*(1+$B$4)/$B$5,0))</f>
        <v>6</v>
      </c>
      <c r="G24" s="21" t="n">
        <f aca="false">WORKDAY(H23,1)</f>
        <v>46715</v>
      </c>
      <c r="H24" s="21" t="n">
        <f aca="false">WORKDAY(G24,F24*5-1)</f>
        <v>46756</v>
      </c>
      <c r="I24" s="19" t="s">
        <v>114</v>
      </c>
      <c r="J24" s="22" t="s">
        <v>53</v>
      </c>
    </row>
    <row r="25" customFormat="false" ht="23.85" hidden="false" customHeight="false" outlineLevel="0" collapsed="false">
      <c r="A25" s="19" t="s">
        <v>115</v>
      </c>
      <c r="B25" s="19" t="s">
        <v>116</v>
      </c>
      <c r="C25" s="19" t="s">
        <v>104</v>
      </c>
      <c r="D25" s="19" t="s">
        <v>117</v>
      </c>
      <c r="E25" s="20" t="n">
        <f aca="false">SUMIFS(Backlog!$I$5:$I$106,Backlog!$B$5:$B$106,A25)</f>
        <v>14</v>
      </c>
      <c r="F25" s="19" t="n">
        <f aca="false">MAX(1,ROUNDUP(E25*(1+$B$4)/$B$5,0))</f>
        <v>4</v>
      </c>
      <c r="G25" s="21" t="n">
        <f aca="false">WORKDAY(H24,1)</f>
        <v>46757</v>
      </c>
      <c r="H25" s="21" t="n">
        <f aca="false">WORKDAY(G25,F25*5-1)</f>
        <v>46784</v>
      </c>
      <c r="I25" s="19" t="s">
        <v>118</v>
      </c>
      <c r="J25" s="22" t="s">
        <v>53</v>
      </c>
    </row>
    <row r="26" customFormat="false" ht="15" hidden="false" customHeight="false" outlineLevel="0" collapsed="false">
      <c r="B26" s="8" t="s">
        <v>119</v>
      </c>
      <c r="E26" s="8" t="n">
        <f aca="false">SUM(E9:E25)</f>
        <v>253</v>
      </c>
      <c r="F26" s="8" t="n">
        <f aca="false">SUM(F9:F25)</f>
        <v>67</v>
      </c>
      <c r="G26" s="23" t="n">
        <f aca="false">G9</f>
        <v>46316</v>
      </c>
      <c r="H26" s="23" t="n">
        <f aca="false">H25</f>
        <v>46784</v>
      </c>
    </row>
    <row r="27" customFormat="false" ht="15" hidden="false" customHeight="false" outlineLevel="0" collapsed="false">
      <c r="B27" s="10" t="s">
        <v>120</v>
      </c>
    </row>
  </sheetData>
  <dataValidations count="1">
    <dataValidation allowBlank="true" errorStyle="stop" operator="between" showDropDown="false" showErrorMessage="false" showInputMessage="false" sqref="J9:J25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66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" t="s">
        <v>121</v>
      </c>
    </row>
    <row r="2" customFormat="false" ht="15" hidden="false" customHeight="false" outlineLevel="0" collapsed="false">
      <c r="A2" s="10" t="s">
        <v>122</v>
      </c>
    </row>
    <row r="4" customFormat="false" ht="23.85" hidden="false" customHeight="false" outlineLevel="0" collapsed="false">
      <c r="A4" s="14" t="s">
        <v>123</v>
      </c>
      <c r="B4" s="14" t="s">
        <v>39</v>
      </c>
      <c r="C4" s="14" t="s">
        <v>124</v>
      </c>
      <c r="D4" s="14" t="s">
        <v>40</v>
      </c>
      <c r="E4" s="14" t="s">
        <v>125</v>
      </c>
      <c r="F4" s="14" t="s">
        <v>126</v>
      </c>
      <c r="G4" s="14" t="s">
        <v>127</v>
      </c>
      <c r="H4" s="14" t="s">
        <v>128</v>
      </c>
      <c r="I4" s="14" t="s">
        <v>42</v>
      </c>
      <c r="J4" s="14" t="s">
        <v>129</v>
      </c>
      <c r="K4" s="14" t="s">
        <v>47</v>
      </c>
    </row>
    <row r="5" customFormat="false" ht="15" hidden="false" customHeight="false" outlineLevel="0" collapsed="false">
      <c r="A5" s="15" t="s">
        <v>130</v>
      </c>
      <c r="B5" s="15" t="s">
        <v>48</v>
      </c>
      <c r="C5" s="15" t="str">
        <f aca="false">INDEX(Stages!$B$9:$B$25,MATCH(B5,Stages!$A$9:$A$25,0))</f>
        <v>Discovery &amp; Requirements</v>
      </c>
      <c r="D5" s="15" t="str">
        <f aca="false">INDEX(Stages!$C$9:$C$25,MATCH(B5,Stages!$A$9:$A$25,0))</f>
        <v>Release 1</v>
      </c>
      <c r="E5" s="15" t="s">
        <v>131</v>
      </c>
      <c r="F5" s="15" t="s">
        <v>132</v>
      </c>
      <c r="G5" s="15" t="s">
        <v>133</v>
      </c>
      <c r="H5" s="15" t="s">
        <v>134</v>
      </c>
      <c r="I5" s="18" t="n">
        <v>3</v>
      </c>
      <c r="J5" s="18" t="s">
        <v>135</v>
      </c>
      <c r="K5" s="18" t="s">
        <v>136</v>
      </c>
    </row>
    <row r="6" customFormat="false" ht="15" hidden="false" customHeight="false" outlineLevel="0" collapsed="false">
      <c r="A6" s="15" t="s">
        <v>137</v>
      </c>
      <c r="B6" s="15" t="s">
        <v>48</v>
      </c>
      <c r="C6" s="15" t="str">
        <f aca="false">INDEX(Stages!$B$9:$B$25,MATCH(B6,Stages!$A$9:$A$25,0))</f>
        <v>Discovery &amp; Requirements</v>
      </c>
      <c r="D6" s="15" t="str">
        <f aca="false">INDEX(Stages!$C$9:$C$25,MATCH(B6,Stages!$A$9:$A$25,0))</f>
        <v>Release 1</v>
      </c>
      <c r="E6" s="15" t="s">
        <v>138</v>
      </c>
      <c r="F6" s="15" t="s">
        <v>139</v>
      </c>
      <c r="G6" s="15" t="s">
        <v>140</v>
      </c>
      <c r="H6" s="15" t="s">
        <v>134</v>
      </c>
      <c r="I6" s="18" t="n">
        <v>1</v>
      </c>
      <c r="J6" s="18" t="s">
        <v>135</v>
      </c>
      <c r="K6" s="18" t="s">
        <v>136</v>
      </c>
    </row>
    <row r="7" customFormat="false" ht="23.85" hidden="false" customHeight="false" outlineLevel="0" collapsed="false">
      <c r="A7" s="15" t="s">
        <v>141</v>
      </c>
      <c r="B7" s="15" t="s">
        <v>48</v>
      </c>
      <c r="C7" s="15" t="str">
        <f aca="false">INDEX(Stages!$B$9:$B$25,MATCH(B7,Stages!$A$9:$A$25,0))</f>
        <v>Discovery &amp; Requirements</v>
      </c>
      <c r="D7" s="15" t="str">
        <f aca="false">INDEX(Stages!$C$9:$C$25,MATCH(B7,Stages!$A$9:$A$25,0))</f>
        <v>Release 1</v>
      </c>
      <c r="E7" s="15" t="s">
        <v>142</v>
      </c>
      <c r="F7" s="15" t="s">
        <v>143</v>
      </c>
      <c r="G7" s="15" t="s">
        <v>140</v>
      </c>
      <c r="H7" s="15" t="s">
        <v>134</v>
      </c>
      <c r="I7" s="18" t="n">
        <v>3</v>
      </c>
      <c r="J7" s="18" t="s">
        <v>135</v>
      </c>
      <c r="K7" s="18" t="s">
        <v>136</v>
      </c>
    </row>
    <row r="8" customFormat="false" ht="23.85" hidden="false" customHeight="false" outlineLevel="0" collapsed="false">
      <c r="A8" s="15" t="s">
        <v>144</v>
      </c>
      <c r="B8" s="15" t="s">
        <v>48</v>
      </c>
      <c r="C8" s="15" t="str">
        <f aca="false">INDEX(Stages!$B$9:$B$25,MATCH(B8,Stages!$A$9:$A$25,0))</f>
        <v>Discovery &amp; Requirements</v>
      </c>
      <c r="D8" s="15" t="str">
        <f aca="false">INDEX(Stages!$C$9:$C$25,MATCH(B8,Stages!$A$9:$A$25,0))</f>
        <v>Release 1</v>
      </c>
      <c r="E8" s="15" t="s">
        <v>145</v>
      </c>
      <c r="F8" s="15" t="s">
        <v>143</v>
      </c>
      <c r="G8" s="15" t="s">
        <v>140</v>
      </c>
      <c r="H8" s="15" t="s">
        <v>134</v>
      </c>
      <c r="I8" s="18" t="n">
        <v>1</v>
      </c>
      <c r="J8" s="18" t="s">
        <v>135</v>
      </c>
      <c r="K8" s="18" t="s">
        <v>136</v>
      </c>
    </row>
    <row r="9" customFormat="false" ht="15" hidden="false" customHeight="false" outlineLevel="0" collapsed="false">
      <c r="A9" s="15" t="s">
        <v>146</v>
      </c>
      <c r="B9" s="15" t="s">
        <v>48</v>
      </c>
      <c r="C9" s="15" t="str">
        <f aca="false">INDEX(Stages!$B$9:$B$25,MATCH(B9,Stages!$A$9:$A$25,0))</f>
        <v>Discovery &amp; Requirements</v>
      </c>
      <c r="D9" s="15" t="str">
        <f aca="false">INDEX(Stages!$C$9:$C$25,MATCH(B9,Stages!$A$9:$A$25,0))</f>
        <v>Release 1</v>
      </c>
      <c r="E9" s="15" t="s">
        <v>147</v>
      </c>
      <c r="F9" s="15" t="s">
        <v>148</v>
      </c>
      <c r="G9" s="15" t="s">
        <v>149</v>
      </c>
      <c r="H9" s="15" t="s">
        <v>150</v>
      </c>
      <c r="I9" s="18" t="n">
        <v>1</v>
      </c>
      <c r="J9" s="18" t="s">
        <v>135</v>
      </c>
      <c r="K9" s="18" t="s">
        <v>136</v>
      </c>
    </row>
    <row r="10" customFormat="false" ht="23.85" hidden="false" customHeight="false" outlineLevel="0" collapsed="false">
      <c r="A10" s="15" t="s">
        <v>151</v>
      </c>
      <c r="B10" s="15" t="s">
        <v>48</v>
      </c>
      <c r="C10" s="15" t="str">
        <f aca="false">INDEX(Stages!$B$9:$B$25,MATCH(B10,Stages!$A$9:$A$25,0))</f>
        <v>Discovery &amp; Requirements</v>
      </c>
      <c r="D10" s="15" t="str">
        <f aca="false">INDEX(Stages!$C$9:$C$25,MATCH(B10,Stages!$A$9:$A$25,0))</f>
        <v>Release 1</v>
      </c>
      <c r="E10" s="15" t="s">
        <v>152</v>
      </c>
      <c r="F10" s="15" t="s">
        <v>132</v>
      </c>
      <c r="G10" s="15" t="s">
        <v>140</v>
      </c>
      <c r="H10" s="15" t="s">
        <v>134</v>
      </c>
      <c r="I10" s="18" t="n">
        <v>1</v>
      </c>
      <c r="J10" s="18" t="s">
        <v>135</v>
      </c>
      <c r="K10" s="18" t="s">
        <v>136</v>
      </c>
    </row>
    <row r="11" customFormat="false" ht="15" hidden="false" customHeight="false" outlineLevel="0" collapsed="false">
      <c r="A11" s="15" t="s">
        <v>153</v>
      </c>
      <c r="B11" s="15" t="s">
        <v>54</v>
      </c>
      <c r="C11" s="15" t="str">
        <f aca="false">INDEX(Stages!$B$9:$B$25,MATCH(B11,Stages!$A$9:$A$25,0))</f>
        <v>UX / HMI Design</v>
      </c>
      <c r="D11" s="15" t="str">
        <f aca="false">INDEX(Stages!$C$9:$C$25,MATCH(B11,Stages!$A$9:$A$25,0))</f>
        <v>Release 1</v>
      </c>
      <c r="E11" s="15" t="s">
        <v>154</v>
      </c>
      <c r="F11" s="15" t="s">
        <v>155</v>
      </c>
      <c r="G11" s="15" t="s">
        <v>156</v>
      </c>
      <c r="H11" s="15" t="s">
        <v>157</v>
      </c>
      <c r="I11" s="18" t="n">
        <v>2</v>
      </c>
      <c r="J11" s="18" t="s">
        <v>135</v>
      </c>
      <c r="K11" s="18" t="s">
        <v>136</v>
      </c>
    </row>
    <row r="12" customFormat="false" ht="23.85" hidden="false" customHeight="false" outlineLevel="0" collapsed="false">
      <c r="A12" s="15" t="s">
        <v>158</v>
      </c>
      <c r="B12" s="15" t="s">
        <v>54</v>
      </c>
      <c r="C12" s="15" t="str">
        <f aca="false">INDEX(Stages!$B$9:$B$25,MATCH(B12,Stages!$A$9:$A$25,0))</f>
        <v>UX / HMI Design</v>
      </c>
      <c r="D12" s="15" t="str">
        <f aca="false">INDEX(Stages!$C$9:$C$25,MATCH(B12,Stages!$A$9:$A$25,0))</f>
        <v>Release 1</v>
      </c>
      <c r="E12" s="15" t="s">
        <v>159</v>
      </c>
      <c r="F12" s="15" t="s">
        <v>155</v>
      </c>
      <c r="G12" s="15" t="s">
        <v>160</v>
      </c>
      <c r="H12" s="15" t="s">
        <v>157</v>
      </c>
      <c r="I12" s="18" t="n">
        <v>5</v>
      </c>
      <c r="J12" s="18" t="s">
        <v>135</v>
      </c>
      <c r="K12" s="18" t="s">
        <v>136</v>
      </c>
    </row>
    <row r="13" customFormat="false" ht="23.85" hidden="false" customHeight="false" outlineLevel="0" collapsed="false">
      <c r="A13" s="15" t="s">
        <v>161</v>
      </c>
      <c r="B13" s="15" t="s">
        <v>54</v>
      </c>
      <c r="C13" s="15" t="str">
        <f aca="false">INDEX(Stages!$B$9:$B$25,MATCH(B13,Stages!$A$9:$A$25,0))</f>
        <v>UX / HMI Design</v>
      </c>
      <c r="D13" s="15" t="str">
        <f aca="false">INDEX(Stages!$C$9:$C$25,MATCH(B13,Stages!$A$9:$A$25,0))</f>
        <v>Release 1</v>
      </c>
      <c r="E13" s="15" t="s">
        <v>162</v>
      </c>
      <c r="F13" s="15" t="s">
        <v>155</v>
      </c>
      <c r="G13" s="15" t="s">
        <v>160</v>
      </c>
      <c r="H13" s="15" t="s">
        <v>157</v>
      </c>
      <c r="I13" s="18" t="n">
        <v>2</v>
      </c>
      <c r="J13" s="18" t="s">
        <v>163</v>
      </c>
      <c r="K13" s="18" t="s">
        <v>136</v>
      </c>
    </row>
    <row r="14" customFormat="false" ht="15" hidden="false" customHeight="false" outlineLevel="0" collapsed="false">
      <c r="A14" s="15" t="s">
        <v>164</v>
      </c>
      <c r="B14" s="15" t="s">
        <v>54</v>
      </c>
      <c r="C14" s="15" t="str">
        <f aca="false">INDEX(Stages!$B$9:$B$25,MATCH(B14,Stages!$A$9:$A$25,0))</f>
        <v>UX / HMI Design</v>
      </c>
      <c r="D14" s="15" t="str">
        <f aca="false">INDEX(Stages!$C$9:$C$25,MATCH(B14,Stages!$A$9:$A$25,0))</f>
        <v>Release 1</v>
      </c>
      <c r="E14" s="15" t="s">
        <v>165</v>
      </c>
      <c r="F14" s="15" t="s">
        <v>155</v>
      </c>
      <c r="G14" s="15" t="s">
        <v>160</v>
      </c>
      <c r="H14" s="15" t="s">
        <v>157</v>
      </c>
      <c r="I14" s="18" t="n">
        <v>1</v>
      </c>
      <c r="J14" s="18" t="s">
        <v>135</v>
      </c>
      <c r="K14" s="18" t="s">
        <v>136</v>
      </c>
    </row>
    <row r="15" customFormat="false" ht="15" hidden="false" customHeight="false" outlineLevel="0" collapsed="false">
      <c r="A15" s="15" t="s">
        <v>166</v>
      </c>
      <c r="B15" s="15" t="s">
        <v>54</v>
      </c>
      <c r="C15" s="15" t="str">
        <f aca="false">INDEX(Stages!$B$9:$B$25,MATCH(B15,Stages!$A$9:$A$25,0))</f>
        <v>UX / HMI Design</v>
      </c>
      <c r="D15" s="15" t="str">
        <f aca="false">INDEX(Stages!$C$9:$C$25,MATCH(B15,Stages!$A$9:$A$25,0))</f>
        <v>Release 1</v>
      </c>
      <c r="E15" s="15" t="s">
        <v>167</v>
      </c>
      <c r="F15" s="15" t="s">
        <v>155</v>
      </c>
      <c r="G15" s="15" t="s">
        <v>160</v>
      </c>
      <c r="H15" s="15" t="s">
        <v>157</v>
      </c>
      <c r="I15" s="18" t="n">
        <v>3</v>
      </c>
      <c r="J15" s="18" t="s">
        <v>135</v>
      </c>
      <c r="K15" s="18" t="s">
        <v>136</v>
      </c>
    </row>
    <row r="16" customFormat="false" ht="15" hidden="false" customHeight="false" outlineLevel="0" collapsed="false">
      <c r="A16" s="15" t="s">
        <v>168</v>
      </c>
      <c r="B16" s="15" t="s">
        <v>54</v>
      </c>
      <c r="C16" s="15" t="str">
        <f aca="false">INDEX(Stages!$B$9:$B$25,MATCH(B16,Stages!$A$9:$A$25,0))</f>
        <v>UX / HMI Design</v>
      </c>
      <c r="D16" s="15" t="str">
        <f aca="false">INDEX(Stages!$C$9:$C$25,MATCH(B16,Stages!$A$9:$A$25,0))</f>
        <v>Release 1</v>
      </c>
      <c r="E16" s="15" t="s">
        <v>169</v>
      </c>
      <c r="F16" s="15" t="s">
        <v>155</v>
      </c>
      <c r="G16" s="15" t="s">
        <v>170</v>
      </c>
      <c r="H16" s="15" t="s">
        <v>157</v>
      </c>
      <c r="I16" s="18" t="n">
        <v>1</v>
      </c>
      <c r="J16" s="18" t="s">
        <v>163</v>
      </c>
      <c r="K16" s="18" t="s">
        <v>136</v>
      </c>
    </row>
    <row r="17" customFormat="false" ht="15" hidden="false" customHeight="false" outlineLevel="0" collapsed="false">
      <c r="A17" s="15" t="s">
        <v>171</v>
      </c>
      <c r="B17" s="15" t="s">
        <v>58</v>
      </c>
      <c r="C17" s="15" t="str">
        <f aca="false">INDEX(Stages!$B$9:$B$25,MATCH(B17,Stages!$A$9:$A$25,0))</f>
        <v>Architecture &amp; Dev Setup</v>
      </c>
      <c r="D17" s="15" t="str">
        <f aca="false">INDEX(Stages!$C$9:$C$25,MATCH(B17,Stages!$A$9:$A$25,0))</f>
        <v>Release 1</v>
      </c>
      <c r="E17" s="15" t="s">
        <v>172</v>
      </c>
      <c r="F17" s="15" t="s">
        <v>173</v>
      </c>
      <c r="G17" s="15" t="s">
        <v>174</v>
      </c>
      <c r="H17" s="15" t="s">
        <v>150</v>
      </c>
      <c r="I17" s="18" t="n">
        <v>1</v>
      </c>
      <c r="J17" s="18" t="s">
        <v>135</v>
      </c>
      <c r="K17" s="18" t="s">
        <v>136</v>
      </c>
    </row>
    <row r="18" customFormat="false" ht="23.85" hidden="false" customHeight="false" outlineLevel="0" collapsed="false">
      <c r="A18" s="15" t="s">
        <v>175</v>
      </c>
      <c r="B18" s="15" t="s">
        <v>58</v>
      </c>
      <c r="C18" s="15" t="str">
        <f aca="false">INDEX(Stages!$B$9:$B$25,MATCH(B18,Stages!$A$9:$A$25,0))</f>
        <v>Architecture &amp; Dev Setup</v>
      </c>
      <c r="D18" s="15" t="str">
        <f aca="false">INDEX(Stages!$C$9:$C$25,MATCH(B18,Stages!$A$9:$A$25,0))</f>
        <v>Release 1</v>
      </c>
      <c r="E18" s="15" t="s">
        <v>176</v>
      </c>
      <c r="F18" s="15" t="s">
        <v>173</v>
      </c>
      <c r="G18" s="15" t="s">
        <v>177</v>
      </c>
      <c r="H18" s="15" t="s">
        <v>150</v>
      </c>
      <c r="I18" s="18" t="n">
        <v>1</v>
      </c>
      <c r="J18" s="18" t="s">
        <v>135</v>
      </c>
      <c r="K18" s="18" t="s">
        <v>136</v>
      </c>
    </row>
    <row r="19" customFormat="false" ht="15" hidden="false" customHeight="false" outlineLevel="0" collapsed="false">
      <c r="A19" s="15" t="s">
        <v>178</v>
      </c>
      <c r="B19" s="15" t="s">
        <v>58</v>
      </c>
      <c r="C19" s="15" t="str">
        <f aca="false">INDEX(Stages!$B$9:$B$25,MATCH(B19,Stages!$A$9:$A$25,0))</f>
        <v>Architecture &amp; Dev Setup</v>
      </c>
      <c r="D19" s="15" t="str">
        <f aca="false">INDEX(Stages!$C$9:$C$25,MATCH(B19,Stages!$A$9:$A$25,0))</f>
        <v>Release 1</v>
      </c>
      <c r="E19" s="15" t="s">
        <v>179</v>
      </c>
      <c r="F19" s="15" t="s">
        <v>173</v>
      </c>
      <c r="G19" s="15" t="s">
        <v>180</v>
      </c>
      <c r="H19" s="15" t="s">
        <v>150</v>
      </c>
      <c r="I19" s="18" t="n">
        <v>2</v>
      </c>
      <c r="J19" s="18" t="s">
        <v>135</v>
      </c>
      <c r="K19" s="18" t="s">
        <v>136</v>
      </c>
    </row>
    <row r="20" customFormat="false" ht="23.85" hidden="false" customHeight="false" outlineLevel="0" collapsed="false">
      <c r="A20" s="15" t="s">
        <v>181</v>
      </c>
      <c r="B20" s="15" t="s">
        <v>58</v>
      </c>
      <c r="C20" s="15" t="str">
        <f aca="false">INDEX(Stages!$B$9:$B$25,MATCH(B20,Stages!$A$9:$A$25,0))</f>
        <v>Architecture &amp; Dev Setup</v>
      </c>
      <c r="D20" s="15" t="str">
        <f aca="false">INDEX(Stages!$C$9:$C$25,MATCH(B20,Stages!$A$9:$A$25,0))</f>
        <v>Release 1</v>
      </c>
      <c r="E20" s="15" t="s">
        <v>182</v>
      </c>
      <c r="F20" s="15" t="s">
        <v>183</v>
      </c>
      <c r="G20" s="15" t="s">
        <v>184</v>
      </c>
      <c r="H20" s="15" t="s">
        <v>150</v>
      </c>
      <c r="I20" s="18" t="n">
        <v>3</v>
      </c>
      <c r="J20" s="18" t="s">
        <v>135</v>
      </c>
      <c r="K20" s="18" t="s">
        <v>136</v>
      </c>
    </row>
    <row r="21" customFormat="false" ht="15" hidden="false" customHeight="false" outlineLevel="0" collapsed="false">
      <c r="A21" s="15" t="s">
        <v>185</v>
      </c>
      <c r="B21" s="15" t="s">
        <v>58</v>
      </c>
      <c r="C21" s="15" t="str">
        <f aca="false">INDEX(Stages!$B$9:$B$25,MATCH(B21,Stages!$A$9:$A$25,0))</f>
        <v>Architecture &amp; Dev Setup</v>
      </c>
      <c r="D21" s="15" t="str">
        <f aca="false">INDEX(Stages!$C$9:$C$25,MATCH(B21,Stages!$A$9:$A$25,0))</f>
        <v>Release 1</v>
      </c>
      <c r="E21" s="15" t="s">
        <v>186</v>
      </c>
      <c r="F21" s="15" t="s">
        <v>173</v>
      </c>
      <c r="G21" s="15" t="s">
        <v>187</v>
      </c>
      <c r="H21" s="15" t="s">
        <v>150</v>
      </c>
      <c r="I21" s="18" t="n">
        <v>2</v>
      </c>
      <c r="J21" s="18" t="s">
        <v>135</v>
      </c>
      <c r="K21" s="18" t="s">
        <v>136</v>
      </c>
    </row>
    <row r="22" customFormat="false" ht="15" hidden="false" customHeight="false" outlineLevel="0" collapsed="false">
      <c r="A22" s="15" t="s">
        <v>188</v>
      </c>
      <c r="B22" s="15" t="s">
        <v>58</v>
      </c>
      <c r="C22" s="15" t="str">
        <f aca="false">INDEX(Stages!$B$9:$B$25,MATCH(B22,Stages!$A$9:$A$25,0))</f>
        <v>Architecture &amp; Dev Setup</v>
      </c>
      <c r="D22" s="15" t="str">
        <f aca="false">INDEX(Stages!$C$9:$C$25,MATCH(B22,Stages!$A$9:$A$25,0))</f>
        <v>Release 1</v>
      </c>
      <c r="E22" s="15" t="s">
        <v>189</v>
      </c>
      <c r="F22" s="15" t="s">
        <v>173</v>
      </c>
      <c r="G22" s="15" t="s">
        <v>190</v>
      </c>
      <c r="H22" s="15" t="s">
        <v>150</v>
      </c>
      <c r="I22" s="18" t="n">
        <v>2</v>
      </c>
      <c r="J22" s="18" t="s">
        <v>135</v>
      </c>
      <c r="K22" s="18" t="s">
        <v>136</v>
      </c>
    </row>
    <row r="23" customFormat="false" ht="15" hidden="false" customHeight="false" outlineLevel="0" collapsed="false">
      <c r="A23" s="15" t="s">
        <v>191</v>
      </c>
      <c r="B23" s="15" t="s">
        <v>58</v>
      </c>
      <c r="C23" s="15" t="str">
        <f aca="false">INDEX(Stages!$B$9:$B$25,MATCH(B23,Stages!$A$9:$A$25,0))</f>
        <v>Architecture &amp; Dev Setup</v>
      </c>
      <c r="D23" s="15" t="str">
        <f aca="false">INDEX(Stages!$C$9:$C$25,MATCH(B23,Stages!$A$9:$A$25,0))</f>
        <v>Release 1</v>
      </c>
      <c r="E23" s="15" t="s">
        <v>192</v>
      </c>
      <c r="F23" s="15" t="s">
        <v>173</v>
      </c>
      <c r="G23" s="15" t="s">
        <v>193</v>
      </c>
      <c r="H23" s="15" t="s">
        <v>150</v>
      </c>
      <c r="I23" s="18" t="n">
        <v>1</v>
      </c>
      <c r="J23" s="18" t="s">
        <v>163</v>
      </c>
      <c r="K23" s="18" t="s">
        <v>136</v>
      </c>
    </row>
    <row r="24" customFormat="false" ht="15" hidden="false" customHeight="false" outlineLevel="0" collapsed="false">
      <c r="A24" s="15" t="s">
        <v>194</v>
      </c>
      <c r="B24" s="15" t="s">
        <v>62</v>
      </c>
      <c r="C24" s="15" t="str">
        <f aca="false">INDEX(Stages!$B$9:$B$25,MATCH(B24,Stages!$A$9:$A$25,0))</f>
        <v>Server &amp; Infrastructure Setup</v>
      </c>
      <c r="D24" s="15" t="str">
        <f aca="false">INDEX(Stages!$C$9:$C$25,MATCH(B24,Stages!$A$9:$A$25,0))</f>
        <v>Release 1</v>
      </c>
      <c r="E24" s="15" t="s">
        <v>195</v>
      </c>
      <c r="F24" s="15" t="s">
        <v>148</v>
      </c>
      <c r="G24" s="15" t="s">
        <v>196</v>
      </c>
      <c r="H24" s="15" t="s">
        <v>150</v>
      </c>
      <c r="I24" s="18" t="n">
        <v>1</v>
      </c>
      <c r="J24" s="18" t="s">
        <v>135</v>
      </c>
      <c r="K24" s="18" t="s">
        <v>136</v>
      </c>
    </row>
    <row r="25" customFormat="false" ht="23.85" hidden="false" customHeight="false" outlineLevel="0" collapsed="false">
      <c r="A25" s="15" t="s">
        <v>197</v>
      </c>
      <c r="B25" s="15" t="s">
        <v>62</v>
      </c>
      <c r="C25" s="15" t="str">
        <f aca="false">INDEX(Stages!$B$9:$B$25,MATCH(B25,Stages!$A$9:$A$25,0))</f>
        <v>Server &amp; Infrastructure Setup</v>
      </c>
      <c r="D25" s="15" t="str">
        <f aca="false">INDEX(Stages!$C$9:$C$25,MATCH(B25,Stages!$A$9:$A$25,0))</f>
        <v>Release 1</v>
      </c>
      <c r="E25" s="15" t="s">
        <v>198</v>
      </c>
      <c r="F25" s="15" t="s">
        <v>148</v>
      </c>
      <c r="G25" s="15" t="s">
        <v>199</v>
      </c>
      <c r="H25" s="15" t="s">
        <v>150</v>
      </c>
      <c r="I25" s="18" t="n">
        <v>1</v>
      </c>
      <c r="J25" s="18" t="s">
        <v>135</v>
      </c>
      <c r="K25" s="18" t="s">
        <v>136</v>
      </c>
    </row>
    <row r="26" customFormat="false" ht="15" hidden="false" customHeight="false" outlineLevel="0" collapsed="false">
      <c r="A26" s="15" t="s">
        <v>200</v>
      </c>
      <c r="B26" s="15" t="s">
        <v>62</v>
      </c>
      <c r="C26" s="15" t="str">
        <f aca="false">INDEX(Stages!$B$9:$B$25,MATCH(B26,Stages!$A$9:$A$25,0))</f>
        <v>Server &amp; Infrastructure Setup</v>
      </c>
      <c r="D26" s="15" t="str">
        <f aca="false">INDEX(Stages!$C$9:$C$25,MATCH(B26,Stages!$A$9:$A$25,0))</f>
        <v>Release 1</v>
      </c>
      <c r="E26" s="15" t="s">
        <v>201</v>
      </c>
      <c r="F26" s="15" t="s">
        <v>148</v>
      </c>
      <c r="G26" s="15" t="s">
        <v>202</v>
      </c>
      <c r="H26" s="15" t="s">
        <v>150</v>
      </c>
      <c r="I26" s="18" t="n">
        <v>1</v>
      </c>
      <c r="J26" s="18" t="s">
        <v>135</v>
      </c>
      <c r="K26" s="18" t="s">
        <v>136</v>
      </c>
    </row>
    <row r="27" customFormat="false" ht="23.85" hidden="false" customHeight="false" outlineLevel="0" collapsed="false">
      <c r="A27" s="15" t="s">
        <v>203</v>
      </c>
      <c r="B27" s="15" t="s">
        <v>62</v>
      </c>
      <c r="C27" s="15" t="str">
        <f aca="false">INDEX(Stages!$B$9:$B$25,MATCH(B27,Stages!$A$9:$A$25,0))</f>
        <v>Server &amp; Infrastructure Setup</v>
      </c>
      <c r="D27" s="15" t="str">
        <f aca="false">INDEX(Stages!$C$9:$C$25,MATCH(B27,Stages!$A$9:$A$25,0))</f>
        <v>Release 1</v>
      </c>
      <c r="E27" s="15" t="s">
        <v>204</v>
      </c>
      <c r="F27" s="15" t="s">
        <v>148</v>
      </c>
      <c r="G27" s="15" t="s">
        <v>205</v>
      </c>
      <c r="H27" s="15" t="s">
        <v>150</v>
      </c>
      <c r="I27" s="18" t="n">
        <v>2</v>
      </c>
      <c r="J27" s="18" t="s">
        <v>135</v>
      </c>
      <c r="K27" s="18" t="s">
        <v>136</v>
      </c>
    </row>
    <row r="28" customFormat="false" ht="15" hidden="false" customHeight="false" outlineLevel="0" collapsed="false">
      <c r="A28" s="15" t="s">
        <v>206</v>
      </c>
      <c r="B28" s="15" t="s">
        <v>62</v>
      </c>
      <c r="C28" s="15" t="str">
        <f aca="false">INDEX(Stages!$B$9:$B$25,MATCH(B28,Stages!$A$9:$A$25,0))</f>
        <v>Server &amp; Infrastructure Setup</v>
      </c>
      <c r="D28" s="15" t="str">
        <f aca="false">INDEX(Stages!$C$9:$C$25,MATCH(B28,Stages!$A$9:$A$25,0))</f>
        <v>Release 1</v>
      </c>
      <c r="E28" s="15" t="s">
        <v>207</v>
      </c>
      <c r="F28" s="15" t="s">
        <v>148</v>
      </c>
      <c r="G28" s="15" t="s">
        <v>208</v>
      </c>
      <c r="H28" s="15" t="s">
        <v>150</v>
      </c>
      <c r="I28" s="18" t="n">
        <v>1</v>
      </c>
      <c r="J28" s="18" t="s">
        <v>135</v>
      </c>
      <c r="K28" s="18" t="s">
        <v>136</v>
      </c>
    </row>
    <row r="29" customFormat="false" ht="23.85" hidden="false" customHeight="false" outlineLevel="0" collapsed="false">
      <c r="A29" s="15" t="s">
        <v>209</v>
      </c>
      <c r="B29" s="15" t="s">
        <v>62</v>
      </c>
      <c r="C29" s="15" t="str">
        <f aca="false">INDEX(Stages!$B$9:$B$25,MATCH(B29,Stages!$A$9:$A$25,0))</f>
        <v>Server &amp; Infrastructure Setup</v>
      </c>
      <c r="D29" s="15" t="str">
        <f aca="false">INDEX(Stages!$C$9:$C$25,MATCH(B29,Stages!$A$9:$A$25,0))</f>
        <v>Release 1</v>
      </c>
      <c r="E29" s="15" t="s">
        <v>210</v>
      </c>
      <c r="F29" s="15" t="s">
        <v>211</v>
      </c>
      <c r="G29" s="15" t="s">
        <v>212</v>
      </c>
      <c r="H29" s="15" t="s">
        <v>150</v>
      </c>
      <c r="I29" s="18" t="n">
        <v>1</v>
      </c>
      <c r="J29" s="18" t="s">
        <v>163</v>
      </c>
      <c r="K29" s="18" t="s">
        <v>136</v>
      </c>
    </row>
    <row r="30" customFormat="false" ht="23.85" hidden="false" customHeight="false" outlineLevel="0" collapsed="false">
      <c r="A30" s="15" t="s">
        <v>213</v>
      </c>
      <c r="B30" s="15" t="s">
        <v>62</v>
      </c>
      <c r="C30" s="15" t="str">
        <f aca="false">INDEX(Stages!$B$9:$B$25,MATCH(B30,Stages!$A$9:$A$25,0))</f>
        <v>Server &amp; Infrastructure Setup</v>
      </c>
      <c r="D30" s="15" t="str">
        <f aca="false">INDEX(Stages!$C$9:$C$25,MATCH(B30,Stages!$A$9:$A$25,0))</f>
        <v>Release 1</v>
      </c>
      <c r="E30" s="15" t="s">
        <v>214</v>
      </c>
      <c r="F30" s="15" t="s">
        <v>211</v>
      </c>
      <c r="G30" s="15" t="s">
        <v>215</v>
      </c>
      <c r="H30" s="15" t="s">
        <v>150</v>
      </c>
      <c r="I30" s="18" t="n">
        <v>2</v>
      </c>
      <c r="J30" s="18" t="s">
        <v>135</v>
      </c>
      <c r="K30" s="18" t="s">
        <v>136</v>
      </c>
    </row>
    <row r="31" customFormat="false" ht="15" hidden="false" customHeight="false" outlineLevel="0" collapsed="false">
      <c r="A31" s="15" t="s">
        <v>216</v>
      </c>
      <c r="B31" s="15" t="s">
        <v>62</v>
      </c>
      <c r="C31" s="15" t="str">
        <f aca="false">INDEX(Stages!$B$9:$B$25,MATCH(B31,Stages!$A$9:$A$25,0))</f>
        <v>Server &amp; Infrastructure Setup</v>
      </c>
      <c r="D31" s="15" t="str">
        <f aca="false">INDEX(Stages!$C$9:$C$25,MATCH(B31,Stages!$A$9:$A$25,0))</f>
        <v>Release 1</v>
      </c>
      <c r="E31" s="15" t="s">
        <v>217</v>
      </c>
      <c r="F31" s="15" t="s">
        <v>148</v>
      </c>
      <c r="G31" s="15" t="s">
        <v>218</v>
      </c>
      <c r="H31" s="15" t="s">
        <v>150</v>
      </c>
      <c r="I31" s="18" t="n">
        <v>1</v>
      </c>
      <c r="J31" s="18" t="s">
        <v>163</v>
      </c>
      <c r="K31" s="18" t="s">
        <v>136</v>
      </c>
    </row>
    <row r="32" customFormat="false" ht="15" hidden="false" customHeight="false" outlineLevel="0" collapsed="false">
      <c r="A32" s="15" t="s">
        <v>219</v>
      </c>
      <c r="B32" s="15" t="s">
        <v>62</v>
      </c>
      <c r="C32" s="15" t="str">
        <f aca="false">INDEX(Stages!$B$9:$B$25,MATCH(B32,Stages!$A$9:$A$25,0))</f>
        <v>Server &amp; Infrastructure Setup</v>
      </c>
      <c r="D32" s="15" t="str">
        <f aca="false">INDEX(Stages!$C$9:$C$25,MATCH(B32,Stages!$A$9:$A$25,0))</f>
        <v>Release 1</v>
      </c>
      <c r="E32" s="15" t="s">
        <v>220</v>
      </c>
      <c r="F32" s="15" t="s">
        <v>148</v>
      </c>
      <c r="G32" s="15" t="s">
        <v>140</v>
      </c>
      <c r="H32" s="15" t="s">
        <v>150</v>
      </c>
      <c r="I32" s="18" t="n">
        <v>1</v>
      </c>
      <c r="J32" s="18" t="s">
        <v>163</v>
      </c>
      <c r="K32" s="18" t="s">
        <v>136</v>
      </c>
    </row>
    <row r="33" customFormat="false" ht="15" hidden="false" customHeight="false" outlineLevel="0" collapsed="false">
      <c r="A33" s="15" t="s">
        <v>221</v>
      </c>
      <c r="B33" s="15" t="s">
        <v>66</v>
      </c>
      <c r="C33" s="15" t="str">
        <f aca="false">INDEX(Stages!$B$9:$B$25,MATCH(B33,Stages!$A$9:$A$25,0))</f>
        <v>Authentication &amp; Access Control</v>
      </c>
      <c r="D33" s="15" t="str">
        <f aca="false">INDEX(Stages!$C$9:$C$25,MATCH(B33,Stages!$A$9:$A$25,0))</f>
        <v>Release 1</v>
      </c>
      <c r="E33" s="15" t="s">
        <v>222</v>
      </c>
      <c r="F33" s="15" t="s">
        <v>223</v>
      </c>
      <c r="G33" s="15" t="s">
        <v>224</v>
      </c>
      <c r="H33" s="15" t="s">
        <v>150</v>
      </c>
      <c r="I33" s="18" t="n">
        <v>2</v>
      </c>
      <c r="J33" s="18" t="s">
        <v>135</v>
      </c>
      <c r="K33" s="18" t="s">
        <v>136</v>
      </c>
    </row>
    <row r="34" customFormat="false" ht="23.85" hidden="false" customHeight="false" outlineLevel="0" collapsed="false">
      <c r="A34" s="15" t="s">
        <v>225</v>
      </c>
      <c r="B34" s="15" t="s">
        <v>66</v>
      </c>
      <c r="C34" s="15" t="str">
        <f aca="false">INDEX(Stages!$B$9:$B$25,MATCH(B34,Stages!$A$9:$A$25,0))</f>
        <v>Authentication &amp; Access Control</v>
      </c>
      <c r="D34" s="15" t="str">
        <f aca="false">INDEX(Stages!$C$9:$C$25,MATCH(B34,Stages!$A$9:$A$25,0))</f>
        <v>Release 1</v>
      </c>
      <c r="E34" s="15" t="s">
        <v>226</v>
      </c>
      <c r="F34" s="15" t="s">
        <v>227</v>
      </c>
      <c r="G34" s="15" t="s">
        <v>228</v>
      </c>
      <c r="H34" s="15" t="s">
        <v>150</v>
      </c>
      <c r="I34" s="18" t="n">
        <v>4</v>
      </c>
      <c r="J34" s="18" t="s">
        <v>135</v>
      </c>
      <c r="K34" s="18" t="s">
        <v>136</v>
      </c>
    </row>
    <row r="35" customFormat="false" ht="15" hidden="false" customHeight="false" outlineLevel="0" collapsed="false">
      <c r="A35" s="15" t="s">
        <v>229</v>
      </c>
      <c r="B35" s="15" t="s">
        <v>66</v>
      </c>
      <c r="C35" s="15" t="str">
        <f aca="false">INDEX(Stages!$B$9:$B$25,MATCH(B35,Stages!$A$9:$A$25,0))</f>
        <v>Authentication &amp; Access Control</v>
      </c>
      <c r="D35" s="15" t="str">
        <f aca="false">INDEX(Stages!$C$9:$C$25,MATCH(B35,Stages!$A$9:$A$25,0))</f>
        <v>Release 1</v>
      </c>
      <c r="E35" s="15" t="s">
        <v>230</v>
      </c>
      <c r="F35" s="15" t="s">
        <v>227</v>
      </c>
      <c r="G35" s="15" t="s">
        <v>231</v>
      </c>
      <c r="H35" s="15" t="s">
        <v>150</v>
      </c>
      <c r="I35" s="18" t="n">
        <v>2</v>
      </c>
      <c r="J35" s="18" t="s">
        <v>163</v>
      </c>
      <c r="K35" s="18" t="s">
        <v>136</v>
      </c>
    </row>
    <row r="36" customFormat="false" ht="23.85" hidden="false" customHeight="false" outlineLevel="0" collapsed="false">
      <c r="A36" s="15" t="s">
        <v>232</v>
      </c>
      <c r="B36" s="15" t="s">
        <v>66</v>
      </c>
      <c r="C36" s="15" t="str">
        <f aca="false">INDEX(Stages!$B$9:$B$25,MATCH(B36,Stages!$A$9:$A$25,0))</f>
        <v>Authentication &amp; Access Control</v>
      </c>
      <c r="D36" s="15" t="str">
        <f aca="false">INDEX(Stages!$C$9:$C$25,MATCH(B36,Stages!$A$9:$A$25,0))</f>
        <v>Release 1</v>
      </c>
      <c r="E36" s="15" t="s">
        <v>233</v>
      </c>
      <c r="F36" s="15" t="s">
        <v>227</v>
      </c>
      <c r="G36" s="15" t="s">
        <v>234</v>
      </c>
      <c r="H36" s="15" t="s">
        <v>150</v>
      </c>
      <c r="I36" s="18" t="n">
        <v>3</v>
      </c>
      <c r="J36" s="18" t="s">
        <v>235</v>
      </c>
      <c r="K36" s="18" t="s">
        <v>136</v>
      </c>
    </row>
    <row r="37" customFormat="false" ht="15" hidden="false" customHeight="false" outlineLevel="0" collapsed="false">
      <c r="A37" s="15" t="s">
        <v>236</v>
      </c>
      <c r="B37" s="15" t="s">
        <v>66</v>
      </c>
      <c r="C37" s="15" t="str">
        <f aca="false">INDEX(Stages!$B$9:$B$25,MATCH(B37,Stages!$A$9:$A$25,0))</f>
        <v>Authentication &amp; Access Control</v>
      </c>
      <c r="D37" s="15" t="str">
        <f aca="false">INDEX(Stages!$C$9:$C$25,MATCH(B37,Stages!$A$9:$A$25,0))</f>
        <v>Release 1</v>
      </c>
      <c r="E37" s="15" t="s">
        <v>237</v>
      </c>
      <c r="F37" s="15" t="s">
        <v>139</v>
      </c>
      <c r="G37" s="15" t="s">
        <v>238</v>
      </c>
      <c r="H37" s="15" t="s">
        <v>150</v>
      </c>
      <c r="I37" s="18" t="n">
        <v>3</v>
      </c>
      <c r="J37" s="18" t="s">
        <v>135</v>
      </c>
      <c r="K37" s="18" t="s">
        <v>136</v>
      </c>
    </row>
    <row r="38" customFormat="false" ht="15" hidden="false" customHeight="false" outlineLevel="0" collapsed="false">
      <c r="A38" s="15" t="s">
        <v>239</v>
      </c>
      <c r="B38" s="15" t="s">
        <v>66</v>
      </c>
      <c r="C38" s="15" t="str">
        <f aca="false">INDEX(Stages!$B$9:$B$25,MATCH(B38,Stages!$A$9:$A$25,0))</f>
        <v>Authentication &amp; Access Control</v>
      </c>
      <c r="D38" s="15" t="str">
        <f aca="false">INDEX(Stages!$C$9:$C$25,MATCH(B38,Stages!$A$9:$A$25,0))</f>
        <v>Release 1</v>
      </c>
      <c r="E38" s="15" t="s">
        <v>240</v>
      </c>
      <c r="F38" s="15" t="s">
        <v>241</v>
      </c>
      <c r="G38" s="15" t="s">
        <v>242</v>
      </c>
      <c r="H38" s="15" t="s">
        <v>150</v>
      </c>
      <c r="I38" s="18" t="n">
        <v>3</v>
      </c>
      <c r="J38" s="18" t="s">
        <v>135</v>
      </c>
      <c r="K38" s="18" t="s">
        <v>136</v>
      </c>
    </row>
    <row r="39" customFormat="false" ht="15" hidden="false" customHeight="false" outlineLevel="0" collapsed="false">
      <c r="A39" s="15" t="s">
        <v>243</v>
      </c>
      <c r="B39" s="15" t="s">
        <v>66</v>
      </c>
      <c r="C39" s="15" t="str">
        <f aca="false">INDEX(Stages!$B$9:$B$25,MATCH(B39,Stages!$A$9:$A$25,0))</f>
        <v>Authentication &amp; Access Control</v>
      </c>
      <c r="D39" s="15" t="str">
        <f aca="false">INDEX(Stages!$C$9:$C$25,MATCH(B39,Stages!$A$9:$A$25,0))</f>
        <v>Release 1</v>
      </c>
      <c r="E39" s="15" t="s">
        <v>244</v>
      </c>
      <c r="F39" s="15" t="s">
        <v>245</v>
      </c>
      <c r="G39" s="15" t="s">
        <v>242</v>
      </c>
      <c r="H39" s="15" t="s">
        <v>150</v>
      </c>
      <c r="I39" s="18" t="n">
        <v>2</v>
      </c>
      <c r="J39" s="18" t="s">
        <v>163</v>
      </c>
      <c r="K39" s="18" t="s">
        <v>136</v>
      </c>
    </row>
    <row r="40" customFormat="false" ht="15" hidden="false" customHeight="false" outlineLevel="0" collapsed="false">
      <c r="A40" s="15" t="s">
        <v>246</v>
      </c>
      <c r="B40" s="15" t="s">
        <v>66</v>
      </c>
      <c r="C40" s="15" t="str">
        <f aca="false">INDEX(Stages!$B$9:$B$25,MATCH(B40,Stages!$A$9:$A$25,0))</f>
        <v>Authentication &amp; Access Control</v>
      </c>
      <c r="D40" s="15" t="str">
        <f aca="false">INDEX(Stages!$C$9:$C$25,MATCH(B40,Stages!$A$9:$A$25,0))</f>
        <v>Release 1</v>
      </c>
      <c r="E40" s="15" t="s">
        <v>247</v>
      </c>
      <c r="F40" s="15" t="s">
        <v>143</v>
      </c>
      <c r="G40" s="15" t="s">
        <v>187</v>
      </c>
      <c r="H40" s="15" t="s">
        <v>150</v>
      </c>
      <c r="I40" s="18" t="n">
        <v>1</v>
      </c>
      <c r="J40" s="18" t="s">
        <v>135</v>
      </c>
      <c r="K40" s="18" t="s">
        <v>136</v>
      </c>
    </row>
    <row r="41" customFormat="false" ht="15" hidden="false" customHeight="false" outlineLevel="0" collapsed="false">
      <c r="A41" s="15" t="s">
        <v>248</v>
      </c>
      <c r="B41" s="15" t="s">
        <v>70</v>
      </c>
      <c r="C41" s="15" t="str">
        <f aca="false">INDEX(Stages!$B$9:$B$25,MATCH(B41,Stages!$A$9:$A$25,0))</f>
        <v>Kids Profiles, Safety &amp; Archive</v>
      </c>
      <c r="D41" s="15" t="str">
        <f aca="false">INDEX(Stages!$C$9:$C$25,MATCH(B41,Stages!$A$9:$A$25,0))</f>
        <v>Release 1</v>
      </c>
      <c r="E41" s="15" t="s">
        <v>249</v>
      </c>
      <c r="F41" s="15" t="s">
        <v>250</v>
      </c>
      <c r="G41" s="15" t="s">
        <v>187</v>
      </c>
      <c r="H41" s="15" t="s">
        <v>150</v>
      </c>
      <c r="I41" s="18" t="n">
        <v>3</v>
      </c>
      <c r="J41" s="18" t="s">
        <v>135</v>
      </c>
      <c r="K41" s="18" t="s">
        <v>136</v>
      </c>
    </row>
    <row r="42" customFormat="false" ht="15" hidden="false" customHeight="false" outlineLevel="0" collapsed="false">
      <c r="A42" s="15" t="s">
        <v>251</v>
      </c>
      <c r="B42" s="15" t="s">
        <v>70</v>
      </c>
      <c r="C42" s="15" t="str">
        <f aca="false">INDEX(Stages!$B$9:$B$25,MATCH(B42,Stages!$A$9:$A$25,0))</f>
        <v>Kids Profiles, Safety &amp; Archive</v>
      </c>
      <c r="D42" s="15" t="str">
        <f aca="false">INDEX(Stages!$C$9:$C$25,MATCH(B42,Stages!$A$9:$A$25,0))</f>
        <v>Release 1</v>
      </c>
      <c r="E42" s="15" t="s">
        <v>252</v>
      </c>
      <c r="F42" s="15" t="s">
        <v>250</v>
      </c>
      <c r="G42" s="15" t="s">
        <v>253</v>
      </c>
      <c r="H42" s="15" t="s">
        <v>150</v>
      </c>
      <c r="I42" s="18" t="n">
        <v>4</v>
      </c>
      <c r="J42" s="18" t="s">
        <v>135</v>
      </c>
      <c r="K42" s="18" t="s">
        <v>136</v>
      </c>
    </row>
    <row r="43" customFormat="false" ht="15" hidden="false" customHeight="false" outlineLevel="0" collapsed="false">
      <c r="A43" s="15" t="s">
        <v>254</v>
      </c>
      <c r="B43" s="15" t="s">
        <v>70</v>
      </c>
      <c r="C43" s="15" t="str">
        <f aca="false">INDEX(Stages!$B$9:$B$25,MATCH(B43,Stages!$A$9:$A$25,0))</f>
        <v>Kids Profiles, Safety &amp; Archive</v>
      </c>
      <c r="D43" s="15" t="str">
        <f aca="false">INDEX(Stages!$C$9:$C$25,MATCH(B43,Stages!$A$9:$A$25,0))</f>
        <v>Release 1</v>
      </c>
      <c r="E43" s="15" t="s">
        <v>255</v>
      </c>
      <c r="F43" s="15" t="s">
        <v>256</v>
      </c>
      <c r="G43" s="15" t="s">
        <v>242</v>
      </c>
      <c r="H43" s="15" t="s">
        <v>150</v>
      </c>
      <c r="I43" s="18" t="n">
        <v>3</v>
      </c>
      <c r="J43" s="18" t="s">
        <v>135</v>
      </c>
      <c r="K43" s="18" t="s">
        <v>136</v>
      </c>
    </row>
    <row r="44" customFormat="false" ht="15" hidden="false" customHeight="false" outlineLevel="0" collapsed="false">
      <c r="A44" s="15" t="s">
        <v>257</v>
      </c>
      <c r="B44" s="15" t="s">
        <v>70</v>
      </c>
      <c r="C44" s="15" t="str">
        <f aca="false">INDEX(Stages!$B$9:$B$25,MATCH(B44,Stages!$A$9:$A$25,0))</f>
        <v>Kids Profiles, Safety &amp; Archive</v>
      </c>
      <c r="D44" s="15" t="str">
        <f aca="false">INDEX(Stages!$C$9:$C$25,MATCH(B44,Stages!$A$9:$A$25,0))</f>
        <v>Release 1</v>
      </c>
      <c r="E44" s="15" t="s">
        <v>258</v>
      </c>
      <c r="F44" s="15" t="s">
        <v>259</v>
      </c>
      <c r="G44" s="15" t="s">
        <v>242</v>
      </c>
      <c r="H44" s="15" t="s">
        <v>150</v>
      </c>
      <c r="I44" s="18" t="n">
        <v>3</v>
      </c>
      <c r="J44" s="18" t="s">
        <v>135</v>
      </c>
      <c r="K44" s="18" t="s">
        <v>136</v>
      </c>
    </row>
    <row r="45" customFormat="false" ht="23.85" hidden="false" customHeight="false" outlineLevel="0" collapsed="false">
      <c r="A45" s="15" t="s">
        <v>260</v>
      </c>
      <c r="B45" s="15" t="s">
        <v>70</v>
      </c>
      <c r="C45" s="15" t="str">
        <f aca="false">INDEX(Stages!$B$9:$B$25,MATCH(B45,Stages!$A$9:$A$25,0))</f>
        <v>Kids Profiles, Safety &amp; Archive</v>
      </c>
      <c r="D45" s="15" t="str">
        <f aca="false">INDEX(Stages!$C$9:$C$25,MATCH(B45,Stages!$A$9:$A$25,0))</f>
        <v>Release 1</v>
      </c>
      <c r="E45" s="15" t="s">
        <v>261</v>
      </c>
      <c r="F45" s="15" t="s">
        <v>259</v>
      </c>
      <c r="G45" s="15" t="s">
        <v>242</v>
      </c>
      <c r="H45" s="15" t="s">
        <v>150</v>
      </c>
      <c r="I45" s="18" t="n">
        <v>3</v>
      </c>
      <c r="J45" s="18" t="s">
        <v>135</v>
      </c>
      <c r="K45" s="18" t="s">
        <v>136</v>
      </c>
    </row>
    <row r="46" customFormat="false" ht="15" hidden="false" customHeight="false" outlineLevel="0" collapsed="false">
      <c r="A46" s="15" t="s">
        <v>262</v>
      </c>
      <c r="B46" s="15" t="s">
        <v>70</v>
      </c>
      <c r="C46" s="15" t="str">
        <f aca="false">INDEX(Stages!$B$9:$B$25,MATCH(B46,Stages!$A$9:$A$25,0))</f>
        <v>Kids Profiles, Safety &amp; Archive</v>
      </c>
      <c r="D46" s="15" t="str">
        <f aca="false">INDEX(Stages!$C$9:$C$25,MATCH(B46,Stages!$A$9:$A$25,0))</f>
        <v>Release 1</v>
      </c>
      <c r="E46" s="15" t="s">
        <v>263</v>
      </c>
      <c r="F46" s="15" t="s">
        <v>264</v>
      </c>
      <c r="G46" s="15" t="s">
        <v>242</v>
      </c>
      <c r="H46" s="15" t="s">
        <v>150</v>
      </c>
      <c r="I46" s="18" t="n">
        <v>3</v>
      </c>
      <c r="J46" s="18" t="s">
        <v>135</v>
      </c>
      <c r="K46" s="18" t="s">
        <v>136</v>
      </c>
    </row>
    <row r="47" customFormat="false" ht="15" hidden="false" customHeight="false" outlineLevel="0" collapsed="false">
      <c r="A47" s="15" t="s">
        <v>265</v>
      </c>
      <c r="B47" s="15" t="s">
        <v>70</v>
      </c>
      <c r="C47" s="15" t="str">
        <f aca="false">INDEX(Stages!$B$9:$B$25,MATCH(B47,Stages!$A$9:$A$25,0))</f>
        <v>Kids Profiles, Safety &amp; Archive</v>
      </c>
      <c r="D47" s="15" t="str">
        <f aca="false">INDEX(Stages!$C$9:$C$25,MATCH(B47,Stages!$A$9:$A$25,0))</f>
        <v>Release 1</v>
      </c>
      <c r="E47" s="15" t="s">
        <v>266</v>
      </c>
      <c r="F47" s="15" t="s">
        <v>267</v>
      </c>
      <c r="G47" s="15" t="s">
        <v>268</v>
      </c>
      <c r="H47" s="15" t="s">
        <v>150</v>
      </c>
      <c r="I47" s="18" t="n">
        <v>4</v>
      </c>
      <c r="J47" s="18" t="s">
        <v>163</v>
      </c>
      <c r="K47" s="18" t="s">
        <v>136</v>
      </c>
    </row>
    <row r="48" customFormat="false" ht="15" hidden="false" customHeight="false" outlineLevel="0" collapsed="false">
      <c r="A48" s="15" t="s">
        <v>269</v>
      </c>
      <c r="B48" s="15" t="s">
        <v>70</v>
      </c>
      <c r="C48" s="15" t="str">
        <f aca="false">INDEX(Stages!$B$9:$B$25,MATCH(B48,Stages!$A$9:$A$25,0))</f>
        <v>Kids Profiles, Safety &amp; Archive</v>
      </c>
      <c r="D48" s="15" t="str">
        <f aca="false">INDEX(Stages!$C$9:$C$25,MATCH(B48,Stages!$A$9:$A$25,0))</f>
        <v>Release 1</v>
      </c>
      <c r="E48" s="15" t="s">
        <v>270</v>
      </c>
      <c r="F48" s="15" t="s">
        <v>271</v>
      </c>
      <c r="G48" s="15" t="s">
        <v>272</v>
      </c>
      <c r="H48" s="15" t="s">
        <v>150</v>
      </c>
      <c r="I48" s="18" t="n">
        <v>3</v>
      </c>
      <c r="J48" s="18" t="s">
        <v>135</v>
      </c>
      <c r="K48" s="18" t="s">
        <v>136</v>
      </c>
    </row>
    <row r="49" customFormat="false" ht="15" hidden="false" customHeight="false" outlineLevel="0" collapsed="false">
      <c r="A49" s="15" t="s">
        <v>273</v>
      </c>
      <c r="B49" s="15" t="s">
        <v>70</v>
      </c>
      <c r="C49" s="15" t="str">
        <f aca="false">INDEX(Stages!$B$9:$B$25,MATCH(B49,Stages!$A$9:$A$25,0))</f>
        <v>Kids Profiles, Safety &amp; Archive</v>
      </c>
      <c r="D49" s="15" t="str">
        <f aca="false">INDEX(Stages!$C$9:$C$25,MATCH(B49,Stages!$A$9:$A$25,0))</f>
        <v>Release 1</v>
      </c>
      <c r="E49" s="15" t="s">
        <v>274</v>
      </c>
      <c r="F49" s="15" t="s">
        <v>250</v>
      </c>
      <c r="G49" s="15" t="s">
        <v>224</v>
      </c>
      <c r="H49" s="15" t="s">
        <v>150</v>
      </c>
      <c r="I49" s="18" t="n">
        <v>2</v>
      </c>
      <c r="J49" s="18" t="s">
        <v>163</v>
      </c>
      <c r="K49" s="18" t="s">
        <v>136</v>
      </c>
    </row>
    <row r="50" customFormat="false" ht="15" hidden="false" customHeight="false" outlineLevel="0" collapsed="false">
      <c r="A50" s="15" t="s">
        <v>275</v>
      </c>
      <c r="B50" s="15" t="s">
        <v>70</v>
      </c>
      <c r="C50" s="15" t="str">
        <f aca="false">INDEX(Stages!$B$9:$B$25,MATCH(B50,Stages!$A$9:$A$25,0))</f>
        <v>Kids Profiles, Safety &amp; Archive</v>
      </c>
      <c r="D50" s="15" t="str">
        <f aca="false">INDEX(Stages!$C$9:$C$25,MATCH(B50,Stages!$A$9:$A$25,0))</f>
        <v>Release 1</v>
      </c>
      <c r="E50" s="15" t="s">
        <v>276</v>
      </c>
      <c r="F50" s="15" t="s">
        <v>271</v>
      </c>
      <c r="G50" s="15" t="s">
        <v>187</v>
      </c>
      <c r="H50" s="15" t="s">
        <v>150</v>
      </c>
      <c r="I50" s="18" t="n">
        <v>1</v>
      </c>
      <c r="J50" s="18" t="s">
        <v>163</v>
      </c>
      <c r="K50" s="18" t="s">
        <v>136</v>
      </c>
    </row>
    <row r="51" customFormat="false" ht="15" hidden="false" customHeight="false" outlineLevel="0" collapsed="false">
      <c r="A51" s="15" t="s">
        <v>277</v>
      </c>
      <c r="B51" s="15" t="s">
        <v>74</v>
      </c>
      <c r="C51" s="15" t="str">
        <f aca="false">INDEX(Stages!$B$9:$B$25,MATCH(B51,Stages!$A$9:$A$25,0))</f>
        <v>Groups &amp; Task Board</v>
      </c>
      <c r="D51" s="15" t="str">
        <f aca="false">INDEX(Stages!$C$9:$C$25,MATCH(B51,Stages!$A$9:$A$25,0))</f>
        <v>Release 1</v>
      </c>
      <c r="E51" s="15" t="s">
        <v>278</v>
      </c>
      <c r="F51" s="15" t="s">
        <v>279</v>
      </c>
      <c r="G51" s="15" t="s">
        <v>187</v>
      </c>
      <c r="H51" s="15" t="s">
        <v>150</v>
      </c>
      <c r="I51" s="18" t="n">
        <v>2</v>
      </c>
      <c r="J51" s="18" t="s">
        <v>135</v>
      </c>
      <c r="K51" s="18" t="s">
        <v>136</v>
      </c>
    </row>
    <row r="52" customFormat="false" ht="15" hidden="false" customHeight="false" outlineLevel="0" collapsed="false">
      <c r="A52" s="15" t="s">
        <v>280</v>
      </c>
      <c r="B52" s="15" t="s">
        <v>74</v>
      </c>
      <c r="C52" s="15" t="str">
        <f aca="false">INDEX(Stages!$B$9:$B$25,MATCH(B52,Stages!$A$9:$A$25,0))</f>
        <v>Groups &amp; Task Board</v>
      </c>
      <c r="D52" s="15" t="str">
        <f aca="false">INDEX(Stages!$C$9:$C$25,MATCH(B52,Stages!$A$9:$A$25,0))</f>
        <v>Release 1</v>
      </c>
      <c r="E52" s="15" t="s">
        <v>281</v>
      </c>
      <c r="F52" s="15" t="s">
        <v>279</v>
      </c>
      <c r="G52" s="15" t="s">
        <v>224</v>
      </c>
      <c r="H52" s="15" t="s">
        <v>150</v>
      </c>
      <c r="I52" s="18" t="n">
        <v>3</v>
      </c>
      <c r="J52" s="18" t="s">
        <v>135</v>
      </c>
      <c r="K52" s="18" t="s">
        <v>136</v>
      </c>
    </row>
    <row r="53" customFormat="false" ht="15" hidden="false" customHeight="false" outlineLevel="0" collapsed="false">
      <c r="A53" s="15" t="s">
        <v>282</v>
      </c>
      <c r="B53" s="15" t="s">
        <v>74</v>
      </c>
      <c r="C53" s="15" t="str">
        <f aca="false">INDEX(Stages!$B$9:$B$25,MATCH(B53,Stages!$A$9:$A$25,0))</f>
        <v>Groups &amp; Task Board</v>
      </c>
      <c r="D53" s="15" t="str">
        <f aca="false">INDEX(Stages!$C$9:$C$25,MATCH(B53,Stages!$A$9:$A$25,0))</f>
        <v>Release 1</v>
      </c>
      <c r="E53" s="15" t="s">
        <v>283</v>
      </c>
      <c r="F53" s="15" t="s">
        <v>279</v>
      </c>
      <c r="G53" s="15" t="s">
        <v>242</v>
      </c>
      <c r="H53" s="15" t="s">
        <v>150</v>
      </c>
      <c r="I53" s="18" t="n">
        <v>2</v>
      </c>
      <c r="J53" s="18" t="s">
        <v>135</v>
      </c>
      <c r="K53" s="18" t="s">
        <v>136</v>
      </c>
    </row>
    <row r="54" customFormat="false" ht="15" hidden="false" customHeight="false" outlineLevel="0" collapsed="false">
      <c r="A54" s="15" t="s">
        <v>284</v>
      </c>
      <c r="B54" s="15" t="s">
        <v>74</v>
      </c>
      <c r="C54" s="15" t="str">
        <f aca="false">INDEX(Stages!$B$9:$B$25,MATCH(B54,Stages!$A$9:$A$25,0))</f>
        <v>Groups &amp; Task Board</v>
      </c>
      <c r="D54" s="15" t="str">
        <f aca="false">INDEX(Stages!$C$9:$C$25,MATCH(B54,Stages!$A$9:$A$25,0))</f>
        <v>Release 1</v>
      </c>
      <c r="E54" s="15" t="s">
        <v>285</v>
      </c>
      <c r="F54" s="15" t="s">
        <v>286</v>
      </c>
      <c r="G54" s="15" t="s">
        <v>287</v>
      </c>
      <c r="H54" s="15" t="s">
        <v>150</v>
      </c>
      <c r="I54" s="18" t="n">
        <v>5</v>
      </c>
      <c r="J54" s="18" t="s">
        <v>135</v>
      </c>
      <c r="K54" s="18" t="s">
        <v>136</v>
      </c>
    </row>
    <row r="55" customFormat="false" ht="15" hidden="false" customHeight="false" outlineLevel="0" collapsed="false">
      <c r="A55" s="15" t="s">
        <v>288</v>
      </c>
      <c r="B55" s="15" t="s">
        <v>74</v>
      </c>
      <c r="C55" s="15" t="str">
        <f aca="false">INDEX(Stages!$B$9:$B$25,MATCH(B55,Stages!$A$9:$A$25,0))</f>
        <v>Groups &amp; Task Board</v>
      </c>
      <c r="D55" s="15" t="str">
        <f aca="false">INDEX(Stages!$C$9:$C$25,MATCH(B55,Stages!$A$9:$A$25,0))</f>
        <v>Release 1</v>
      </c>
      <c r="E55" s="15" t="s">
        <v>289</v>
      </c>
      <c r="F55" s="15" t="s">
        <v>286</v>
      </c>
      <c r="G55" s="15" t="s">
        <v>242</v>
      </c>
      <c r="H55" s="15" t="s">
        <v>150</v>
      </c>
      <c r="I55" s="18" t="n">
        <v>3</v>
      </c>
      <c r="J55" s="18" t="s">
        <v>135</v>
      </c>
      <c r="K55" s="18" t="s">
        <v>136</v>
      </c>
    </row>
    <row r="56" customFormat="false" ht="15" hidden="false" customHeight="false" outlineLevel="0" collapsed="false">
      <c r="A56" s="15" t="s">
        <v>290</v>
      </c>
      <c r="B56" s="15" t="s">
        <v>78</v>
      </c>
      <c r="C56" s="15" t="str">
        <f aca="false">INDEX(Stages!$B$9:$B$25,MATCH(B56,Stages!$A$9:$A$25,0))</f>
        <v>Calendar &amp; Events</v>
      </c>
      <c r="D56" s="15" t="str">
        <f aca="false">INDEX(Stages!$C$9:$C$25,MATCH(B56,Stages!$A$9:$A$25,0))</f>
        <v>Release 1</v>
      </c>
      <c r="E56" s="15" t="s">
        <v>291</v>
      </c>
      <c r="F56" s="15" t="s">
        <v>292</v>
      </c>
      <c r="G56" s="15" t="s">
        <v>293</v>
      </c>
      <c r="H56" s="15" t="s">
        <v>150</v>
      </c>
      <c r="I56" s="18" t="n">
        <v>3</v>
      </c>
      <c r="J56" s="18" t="s">
        <v>135</v>
      </c>
      <c r="K56" s="18" t="s">
        <v>136</v>
      </c>
    </row>
    <row r="57" customFormat="false" ht="15" hidden="false" customHeight="false" outlineLevel="0" collapsed="false">
      <c r="A57" s="15" t="s">
        <v>294</v>
      </c>
      <c r="B57" s="15" t="s">
        <v>78</v>
      </c>
      <c r="C57" s="15" t="str">
        <f aca="false">INDEX(Stages!$B$9:$B$25,MATCH(B57,Stages!$A$9:$A$25,0))</f>
        <v>Calendar &amp; Events</v>
      </c>
      <c r="D57" s="15" t="str">
        <f aca="false">INDEX(Stages!$C$9:$C$25,MATCH(B57,Stages!$A$9:$A$25,0))</f>
        <v>Release 1</v>
      </c>
      <c r="E57" s="15" t="s">
        <v>295</v>
      </c>
      <c r="F57" s="15" t="s">
        <v>292</v>
      </c>
      <c r="G57" s="15" t="s">
        <v>296</v>
      </c>
      <c r="H57" s="15" t="s">
        <v>150</v>
      </c>
      <c r="I57" s="18" t="n">
        <v>2</v>
      </c>
      <c r="J57" s="18" t="s">
        <v>163</v>
      </c>
      <c r="K57" s="18" t="s">
        <v>136</v>
      </c>
    </row>
    <row r="58" customFormat="false" ht="15" hidden="false" customHeight="false" outlineLevel="0" collapsed="false">
      <c r="A58" s="15" t="s">
        <v>297</v>
      </c>
      <c r="B58" s="15" t="s">
        <v>78</v>
      </c>
      <c r="C58" s="15" t="str">
        <f aca="false">INDEX(Stages!$B$9:$B$25,MATCH(B58,Stages!$A$9:$A$25,0))</f>
        <v>Calendar &amp; Events</v>
      </c>
      <c r="D58" s="15" t="str">
        <f aca="false">INDEX(Stages!$C$9:$C$25,MATCH(B58,Stages!$A$9:$A$25,0))</f>
        <v>Release 1</v>
      </c>
      <c r="E58" s="15" t="s">
        <v>298</v>
      </c>
      <c r="F58" s="15" t="s">
        <v>292</v>
      </c>
      <c r="G58" s="15" t="s">
        <v>187</v>
      </c>
      <c r="H58" s="15" t="s">
        <v>150</v>
      </c>
      <c r="I58" s="18" t="n">
        <v>3</v>
      </c>
      <c r="J58" s="18" t="s">
        <v>135</v>
      </c>
      <c r="K58" s="18" t="s">
        <v>136</v>
      </c>
    </row>
    <row r="59" customFormat="false" ht="15" hidden="false" customHeight="false" outlineLevel="0" collapsed="false">
      <c r="A59" s="15" t="s">
        <v>299</v>
      </c>
      <c r="B59" s="15" t="s">
        <v>78</v>
      </c>
      <c r="C59" s="15" t="str">
        <f aca="false">INDEX(Stages!$B$9:$B$25,MATCH(B59,Stages!$A$9:$A$25,0))</f>
        <v>Calendar &amp; Events</v>
      </c>
      <c r="D59" s="15" t="str">
        <f aca="false">INDEX(Stages!$C$9:$C$25,MATCH(B59,Stages!$A$9:$A$25,0))</f>
        <v>Release 1</v>
      </c>
      <c r="E59" s="15" t="s">
        <v>300</v>
      </c>
      <c r="F59" s="15" t="s">
        <v>292</v>
      </c>
      <c r="G59" s="15" t="s">
        <v>187</v>
      </c>
      <c r="H59" s="15" t="s">
        <v>150</v>
      </c>
      <c r="I59" s="18" t="n">
        <v>1</v>
      </c>
      <c r="J59" s="18" t="s">
        <v>163</v>
      </c>
      <c r="K59" s="18" t="s">
        <v>136</v>
      </c>
    </row>
    <row r="60" customFormat="false" ht="15" hidden="false" customHeight="false" outlineLevel="0" collapsed="false">
      <c r="A60" s="15" t="s">
        <v>301</v>
      </c>
      <c r="B60" s="15" t="s">
        <v>78</v>
      </c>
      <c r="C60" s="15" t="str">
        <f aca="false">INDEX(Stages!$B$9:$B$25,MATCH(B60,Stages!$A$9:$A$25,0))</f>
        <v>Calendar &amp; Events</v>
      </c>
      <c r="D60" s="15" t="str">
        <f aca="false">INDEX(Stages!$C$9:$C$25,MATCH(B60,Stages!$A$9:$A$25,0))</f>
        <v>Release 1</v>
      </c>
      <c r="E60" s="15" t="s">
        <v>302</v>
      </c>
      <c r="F60" s="15" t="s">
        <v>292</v>
      </c>
      <c r="G60" s="15" t="s">
        <v>303</v>
      </c>
      <c r="H60" s="15" t="s">
        <v>150</v>
      </c>
      <c r="I60" s="18" t="n">
        <v>1</v>
      </c>
      <c r="J60" s="18" t="s">
        <v>235</v>
      </c>
      <c r="K60" s="18" t="s">
        <v>136</v>
      </c>
    </row>
    <row r="61" customFormat="false" ht="15" hidden="false" customHeight="false" outlineLevel="0" collapsed="false">
      <c r="A61" s="15" t="s">
        <v>304</v>
      </c>
      <c r="B61" s="15" t="s">
        <v>82</v>
      </c>
      <c r="C61" s="15" t="str">
        <f aca="false">INDEX(Stages!$B$9:$B$25,MATCH(B61,Stages!$A$9:$A$25,0))</f>
        <v>Attendance, Incidents &amp; Emergency</v>
      </c>
      <c r="D61" s="15" t="str">
        <f aca="false">INDEX(Stages!$C$9:$C$25,MATCH(B61,Stages!$A$9:$A$25,0))</f>
        <v>Release 1</v>
      </c>
      <c r="E61" s="15" t="s">
        <v>305</v>
      </c>
      <c r="F61" s="15" t="s">
        <v>306</v>
      </c>
      <c r="G61" s="15" t="s">
        <v>242</v>
      </c>
      <c r="H61" s="15" t="s">
        <v>150</v>
      </c>
      <c r="I61" s="18" t="n">
        <v>4</v>
      </c>
      <c r="J61" s="18" t="s">
        <v>135</v>
      </c>
      <c r="K61" s="18" t="s">
        <v>136</v>
      </c>
    </row>
    <row r="62" customFormat="false" ht="15" hidden="false" customHeight="false" outlineLevel="0" collapsed="false">
      <c r="A62" s="15" t="s">
        <v>307</v>
      </c>
      <c r="B62" s="15" t="s">
        <v>82</v>
      </c>
      <c r="C62" s="15" t="str">
        <f aca="false">INDEX(Stages!$B$9:$B$25,MATCH(B62,Stages!$A$9:$A$25,0))</f>
        <v>Attendance, Incidents &amp; Emergency</v>
      </c>
      <c r="D62" s="15" t="str">
        <f aca="false">INDEX(Stages!$C$9:$C$25,MATCH(B62,Stages!$A$9:$A$25,0))</f>
        <v>Release 1</v>
      </c>
      <c r="E62" s="15" t="s">
        <v>308</v>
      </c>
      <c r="F62" s="15" t="s">
        <v>306</v>
      </c>
      <c r="G62" s="15" t="s">
        <v>242</v>
      </c>
      <c r="H62" s="15" t="s">
        <v>150</v>
      </c>
      <c r="I62" s="18" t="n">
        <v>2</v>
      </c>
      <c r="J62" s="18" t="s">
        <v>135</v>
      </c>
      <c r="K62" s="18" t="s">
        <v>136</v>
      </c>
    </row>
    <row r="63" customFormat="false" ht="15" hidden="false" customHeight="false" outlineLevel="0" collapsed="false">
      <c r="A63" s="15" t="s">
        <v>309</v>
      </c>
      <c r="B63" s="15" t="s">
        <v>82</v>
      </c>
      <c r="C63" s="15" t="str">
        <f aca="false">INDEX(Stages!$B$9:$B$25,MATCH(B63,Stages!$A$9:$A$25,0))</f>
        <v>Attendance, Incidents &amp; Emergency</v>
      </c>
      <c r="D63" s="15" t="str">
        <f aca="false">INDEX(Stages!$C$9:$C$25,MATCH(B63,Stages!$A$9:$A$25,0))</f>
        <v>Release 1</v>
      </c>
      <c r="E63" s="15" t="s">
        <v>310</v>
      </c>
      <c r="F63" s="15" t="s">
        <v>311</v>
      </c>
      <c r="G63" s="15" t="s">
        <v>242</v>
      </c>
      <c r="H63" s="15" t="s">
        <v>150</v>
      </c>
      <c r="I63" s="18" t="n">
        <v>3</v>
      </c>
      <c r="J63" s="18" t="s">
        <v>135</v>
      </c>
      <c r="K63" s="18" t="s">
        <v>136</v>
      </c>
    </row>
    <row r="64" customFormat="false" ht="15" hidden="false" customHeight="false" outlineLevel="0" collapsed="false">
      <c r="A64" s="15" t="s">
        <v>312</v>
      </c>
      <c r="B64" s="15" t="s">
        <v>82</v>
      </c>
      <c r="C64" s="15" t="str">
        <f aca="false">INDEX(Stages!$B$9:$B$25,MATCH(B64,Stages!$A$9:$A$25,0))</f>
        <v>Attendance, Incidents &amp; Emergency</v>
      </c>
      <c r="D64" s="15" t="str">
        <f aca="false">INDEX(Stages!$C$9:$C$25,MATCH(B64,Stages!$A$9:$A$25,0))</f>
        <v>Release 1</v>
      </c>
      <c r="E64" s="15" t="s">
        <v>313</v>
      </c>
      <c r="F64" s="15" t="s">
        <v>259</v>
      </c>
      <c r="G64" s="15" t="s">
        <v>314</v>
      </c>
      <c r="H64" s="15" t="s">
        <v>150</v>
      </c>
      <c r="I64" s="18" t="n">
        <v>2</v>
      </c>
      <c r="J64" s="18" t="s">
        <v>135</v>
      </c>
      <c r="K64" s="18" t="s">
        <v>136</v>
      </c>
    </row>
    <row r="65" customFormat="false" ht="15" hidden="false" customHeight="false" outlineLevel="0" collapsed="false">
      <c r="A65" s="15" t="s">
        <v>315</v>
      </c>
      <c r="B65" s="15" t="s">
        <v>82</v>
      </c>
      <c r="C65" s="15" t="str">
        <f aca="false">INDEX(Stages!$B$9:$B$25,MATCH(B65,Stages!$A$9:$A$25,0))</f>
        <v>Attendance, Incidents &amp; Emergency</v>
      </c>
      <c r="D65" s="15" t="str">
        <f aca="false">INDEX(Stages!$C$9:$C$25,MATCH(B65,Stages!$A$9:$A$25,0))</f>
        <v>Release 1</v>
      </c>
      <c r="E65" s="15" t="s">
        <v>316</v>
      </c>
      <c r="F65" s="15" t="s">
        <v>279</v>
      </c>
      <c r="G65" s="15" t="s">
        <v>224</v>
      </c>
      <c r="H65" s="15" t="s">
        <v>150</v>
      </c>
      <c r="I65" s="18" t="n">
        <v>2</v>
      </c>
      <c r="J65" s="18" t="s">
        <v>163</v>
      </c>
      <c r="K65" s="18" t="s">
        <v>136</v>
      </c>
    </row>
    <row r="66" customFormat="false" ht="15" hidden="false" customHeight="false" outlineLevel="0" collapsed="false">
      <c r="A66" s="15" t="s">
        <v>317</v>
      </c>
      <c r="B66" s="15" t="s">
        <v>86</v>
      </c>
      <c r="C66" s="15" t="str">
        <f aca="false">INDEX(Stages!$B$9:$B$25,MATCH(B66,Stages!$A$9:$A$25,0))</f>
        <v>Feedback &amp; Crash Reporting</v>
      </c>
      <c r="D66" s="15" t="str">
        <f aca="false">INDEX(Stages!$C$9:$C$25,MATCH(B66,Stages!$A$9:$A$25,0))</f>
        <v>Release 1</v>
      </c>
      <c r="E66" s="15" t="s">
        <v>318</v>
      </c>
      <c r="F66" s="15" t="s">
        <v>319</v>
      </c>
      <c r="G66" s="15" t="s">
        <v>224</v>
      </c>
      <c r="H66" s="15" t="s">
        <v>150</v>
      </c>
      <c r="I66" s="18" t="n">
        <v>2</v>
      </c>
      <c r="J66" s="18" t="s">
        <v>135</v>
      </c>
      <c r="K66" s="18" t="s">
        <v>136</v>
      </c>
    </row>
    <row r="67" customFormat="false" ht="15" hidden="false" customHeight="false" outlineLevel="0" collapsed="false">
      <c r="A67" s="15" t="s">
        <v>320</v>
      </c>
      <c r="B67" s="15" t="s">
        <v>86</v>
      </c>
      <c r="C67" s="15" t="str">
        <f aca="false">INDEX(Stages!$B$9:$B$25,MATCH(B67,Stages!$A$9:$A$25,0))</f>
        <v>Feedback &amp; Crash Reporting</v>
      </c>
      <c r="D67" s="15" t="str">
        <f aca="false">INDEX(Stages!$C$9:$C$25,MATCH(B67,Stages!$A$9:$A$25,0))</f>
        <v>Release 1</v>
      </c>
      <c r="E67" s="15" t="s">
        <v>321</v>
      </c>
      <c r="F67" s="15" t="s">
        <v>319</v>
      </c>
      <c r="G67" s="15" t="s">
        <v>322</v>
      </c>
      <c r="H67" s="15" t="s">
        <v>150</v>
      </c>
      <c r="I67" s="18" t="n">
        <v>3</v>
      </c>
      <c r="J67" s="18" t="s">
        <v>135</v>
      </c>
      <c r="K67" s="18" t="s">
        <v>136</v>
      </c>
    </row>
    <row r="68" customFormat="false" ht="23.85" hidden="false" customHeight="false" outlineLevel="0" collapsed="false">
      <c r="A68" s="15" t="s">
        <v>323</v>
      </c>
      <c r="B68" s="15" t="s">
        <v>86</v>
      </c>
      <c r="C68" s="15" t="str">
        <f aca="false">INDEX(Stages!$B$9:$B$25,MATCH(B68,Stages!$A$9:$A$25,0))</f>
        <v>Feedback &amp; Crash Reporting</v>
      </c>
      <c r="D68" s="15" t="str">
        <f aca="false">INDEX(Stages!$C$9:$C$25,MATCH(B68,Stages!$A$9:$A$25,0))</f>
        <v>Release 1</v>
      </c>
      <c r="E68" s="15" t="s">
        <v>324</v>
      </c>
      <c r="F68" s="15" t="s">
        <v>319</v>
      </c>
      <c r="G68" s="15" t="s">
        <v>325</v>
      </c>
      <c r="H68" s="15" t="s">
        <v>150</v>
      </c>
      <c r="I68" s="18" t="n">
        <v>3</v>
      </c>
      <c r="J68" s="18" t="s">
        <v>135</v>
      </c>
      <c r="K68" s="18" t="s">
        <v>136</v>
      </c>
    </row>
    <row r="69" customFormat="false" ht="23.85" hidden="false" customHeight="false" outlineLevel="0" collapsed="false">
      <c r="A69" s="15" t="s">
        <v>326</v>
      </c>
      <c r="B69" s="15" t="s">
        <v>90</v>
      </c>
      <c r="C69" s="15" t="str">
        <f aca="false">INDEX(Stages!$B$9:$B$25,MATCH(B69,Stages!$A$9:$A$25,0))</f>
        <v>Data Separation &amp; Security Hardening</v>
      </c>
      <c r="D69" s="15" t="str">
        <f aca="false">INDEX(Stages!$C$9:$C$25,MATCH(B69,Stages!$A$9:$A$25,0))</f>
        <v>Release 1</v>
      </c>
      <c r="E69" s="15" t="s">
        <v>327</v>
      </c>
      <c r="F69" s="15" t="s">
        <v>328</v>
      </c>
      <c r="G69" s="15" t="s">
        <v>329</v>
      </c>
      <c r="H69" s="15" t="s">
        <v>150</v>
      </c>
      <c r="I69" s="18" t="n">
        <v>3</v>
      </c>
      <c r="J69" s="18" t="s">
        <v>135</v>
      </c>
      <c r="K69" s="18" t="s">
        <v>136</v>
      </c>
    </row>
    <row r="70" customFormat="false" ht="23.85" hidden="false" customHeight="false" outlineLevel="0" collapsed="false">
      <c r="A70" s="15" t="s">
        <v>330</v>
      </c>
      <c r="B70" s="15" t="s">
        <v>90</v>
      </c>
      <c r="C70" s="15" t="str">
        <f aca="false">INDEX(Stages!$B$9:$B$25,MATCH(B70,Stages!$A$9:$A$25,0))</f>
        <v>Data Separation &amp; Security Hardening</v>
      </c>
      <c r="D70" s="15" t="str">
        <f aca="false">INDEX(Stages!$C$9:$C$25,MATCH(B70,Stages!$A$9:$A$25,0))</f>
        <v>Release 1</v>
      </c>
      <c r="E70" s="15" t="s">
        <v>331</v>
      </c>
      <c r="F70" s="15" t="s">
        <v>143</v>
      </c>
      <c r="G70" s="15" t="s">
        <v>332</v>
      </c>
      <c r="H70" s="15" t="s">
        <v>150</v>
      </c>
      <c r="I70" s="18" t="n">
        <v>3</v>
      </c>
      <c r="J70" s="18" t="s">
        <v>135</v>
      </c>
      <c r="K70" s="18" t="s">
        <v>136</v>
      </c>
    </row>
    <row r="71" customFormat="false" ht="15" hidden="false" customHeight="false" outlineLevel="0" collapsed="false">
      <c r="A71" s="15" t="s">
        <v>333</v>
      </c>
      <c r="B71" s="15" t="s">
        <v>90</v>
      </c>
      <c r="C71" s="15" t="str">
        <f aca="false">INDEX(Stages!$B$9:$B$25,MATCH(B71,Stages!$A$9:$A$25,0))</f>
        <v>Data Separation &amp; Security Hardening</v>
      </c>
      <c r="D71" s="15" t="str">
        <f aca="false">INDEX(Stages!$C$9:$C$25,MATCH(B71,Stages!$A$9:$A$25,0))</f>
        <v>Release 1</v>
      </c>
      <c r="E71" s="15" t="s">
        <v>334</v>
      </c>
      <c r="F71" s="15" t="s">
        <v>143</v>
      </c>
      <c r="G71" s="15" t="s">
        <v>335</v>
      </c>
      <c r="H71" s="15" t="s">
        <v>150</v>
      </c>
      <c r="I71" s="18" t="n">
        <v>2</v>
      </c>
      <c r="J71" s="18" t="s">
        <v>135</v>
      </c>
      <c r="K71" s="18" t="s">
        <v>136</v>
      </c>
    </row>
    <row r="72" customFormat="false" ht="15" hidden="false" customHeight="false" outlineLevel="0" collapsed="false">
      <c r="A72" s="15" t="s">
        <v>336</v>
      </c>
      <c r="B72" s="15" t="s">
        <v>90</v>
      </c>
      <c r="C72" s="15" t="str">
        <f aca="false">INDEX(Stages!$B$9:$B$25,MATCH(B72,Stages!$A$9:$A$25,0))</f>
        <v>Data Separation &amp; Security Hardening</v>
      </c>
      <c r="D72" s="15" t="str">
        <f aca="false">INDEX(Stages!$C$9:$C$25,MATCH(B72,Stages!$A$9:$A$25,0))</f>
        <v>Release 1</v>
      </c>
      <c r="E72" s="15" t="s">
        <v>337</v>
      </c>
      <c r="F72" s="15" t="s">
        <v>143</v>
      </c>
      <c r="G72" s="15" t="s">
        <v>187</v>
      </c>
      <c r="H72" s="15" t="s">
        <v>150</v>
      </c>
      <c r="I72" s="18" t="n">
        <v>2</v>
      </c>
      <c r="J72" s="18" t="s">
        <v>135</v>
      </c>
      <c r="K72" s="18" t="s">
        <v>136</v>
      </c>
    </row>
    <row r="73" customFormat="false" ht="15" hidden="false" customHeight="false" outlineLevel="0" collapsed="false">
      <c r="A73" s="15" t="s">
        <v>338</v>
      </c>
      <c r="B73" s="15" t="s">
        <v>90</v>
      </c>
      <c r="C73" s="15" t="str">
        <f aca="false">INDEX(Stages!$B$9:$B$25,MATCH(B73,Stages!$A$9:$A$25,0))</f>
        <v>Data Separation &amp; Security Hardening</v>
      </c>
      <c r="D73" s="15" t="str">
        <f aca="false">INDEX(Stages!$C$9:$C$25,MATCH(B73,Stages!$A$9:$A$25,0))</f>
        <v>Release 1</v>
      </c>
      <c r="E73" s="15" t="s">
        <v>339</v>
      </c>
      <c r="F73" s="15" t="s">
        <v>143</v>
      </c>
      <c r="G73" s="15" t="s">
        <v>340</v>
      </c>
      <c r="H73" s="15" t="s">
        <v>150</v>
      </c>
      <c r="I73" s="18" t="n">
        <v>2</v>
      </c>
      <c r="J73" s="18" t="s">
        <v>135</v>
      </c>
      <c r="K73" s="18" t="s">
        <v>136</v>
      </c>
    </row>
    <row r="74" customFormat="false" ht="15" hidden="false" customHeight="false" outlineLevel="0" collapsed="false">
      <c r="A74" s="15" t="s">
        <v>341</v>
      </c>
      <c r="B74" s="15" t="s">
        <v>94</v>
      </c>
      <c r="C74" s="15" t="str">
        <f aca="false">INDEX(Stages!$B$9:$B$25,MATCH(B74,Stages!$A$9:$A$25,0))</f>
        <v>Testing &amp; Pilot</v>
      </c>
      <c r="D74" s="15" t="str">
        <f aca="false">INDEX(Stages!$C$9:$C$25,MATCH(B74,Stages!$A$9:$A$25,0))</f>
        <v>Release 1</v>
      </c>
      <c r="E74" s="15" t="s">
        <v>342</v>
      </c>
      <c r="F74" s="15" t="s">
        <v>343</v>
      </c>
      <c r="G74" s="15" t="s">
        <v>344</v>
      </c>
      <c r="H74" s="15" t="s">
        <v>150</v>
      </c>
      <c r="I74" s="18" t="n">
        <v>4</v>
      </c>
      <c r="J74" s="18" t="s">
        <v>135</v>
      </c>
      <c r="K74" s="18" t="s">
        <v>136</v>
      </c>
    </row>
    <row r="75" customFormat="false" ht="15" hidden="false" customHeight="false" outlineLevel="0" collapsed="false">
      <c r="A75" s="15" t="s">
        <v>345</v>
      </c>
      <c r="B75" s="15" t="s">
        <v>94</v>
      </c>
      <c r="C75" s="15" t="str">
        <f aca="false">INDEX(Stages!$B$9:$B$25,MATCH(B75,Stages!$A$9:$A$25,0))</f>
        <v>Testing &amp; Pilot</v>
      </c>
      <c r="D75" s="15" t="str">
        <f aca="false">INDEX(Stages!$C$9:$C$25,MATCH(B75,Stages!$A$9:$A$25,0))</f>
        <v>Release 1</v>
      </c>
      <c r="E75" s="15" t="s">
        <v>346</v>
      </c>
      <c r="F75" s="15" t="s">
        <v>343</v>
      </c>
      <c r="G75" s="15" t="s">
        <v>347</v>
      </c>
      <c r="H75" s="15" t="s">
        <v>150</v>
      </c>
      <c r="I75" s="18" t="n">
        <v>4</v>
      </c>
      <c r="J75" s="18" t="s">
        <v>135</v>
      </c>
      <c r="K75" s="18" t="s">
        <v>136</v>
      </c>
    </row>
    <row r="76" customFormat="false" ht="15" hidden="false" customHeight="false" outlineLevel="0" collapsed="false">
      <c r="A76" s="15" t="s">
        <v>348</v>
      </c>
      <c r="B76" s="15" t="s">
        <v>94</v>
      </c>
      <c r="C76" s="15" t="str">
        <f aca="false">INDEX(Stages!$B$9:$B$25,MATCH(B76,Stages!$A$9:$A$25,0))</f>
        <v>Testing &amp; Pilot</v>
      </c>
      <c r="D76" s="15" t="str">
        <f aca="false">INDEX(Stages!$C$9:$C$25,MATCH(B76,Stages!$A$9:$A$25,0))</f>
        <v>Release 1</v>
      </c>
      <c r="E76" s="15" t="s">
        <v>349</v>
      </c>
      <c r="F76" s="15" t="s">
        <v>343</v>
      </c>
      <c r="G76" s="15" t="s">
        <v>344</v>
      </c>
      <c r="H76" s="15" t="s">
        <v>150</v>
      </c>
      <c r="I76" s="18" t="n">
        <v>1</v>
      </c>
      <c r="J76" s="18" t="s">
        <v>135</v>
      </c>
      <c r="K76" s="18" t="s">
        <v>136</v>
      </c>
    </row>
    <row r="77" customFormat="false" ht="15" hidden="false" customHeight="false" outlineLevel="0" collapsed="false">
      <c r="A77" s="15" t="s">
        <v>350</v>
      </c>
      <c r="B77" s="15" t="s">
        <v>94</v>
      </c>
      <c r="C77" s="15" t="str">
        <f aca="false">INDEX(Stages!$B$9:$B$25,MATCH(B77,Stages!$A$9:$A$25,0))</f>
        <v>Testing &amp; Pilot</v>
      </c>
      <c r="D77" s="15" t="str">
        <f aca="false">INDEX(Stages!$C$9:$C$25,MATCH(B77,Stages!$A$9:$A$25,0))</f>
        <v>Release 1</v>
      </c>
      <c r="E77" s="15" t="s">
        <v>351</v>
      </c>
      <c r="F77" s="15" t="s">
        <v>343</v>
      </c>
      <c r="G77" s="15" t="s">
        <v>344</v>
      </c>
      <c r="H77" s="15" t="s">
        <v>150</v>
      </c>
      <c r="I77" s="18" t="n">
        <v>1</v>
      </c>
      <c r="J77" s="18" t="s">
        <v>135</v>
      </c>
      <c r="K77" s="18" t="s">
        <v>136</v>
      </c>
    </row>
    <row r="78" customFormat="false" ht="15" hidden="false" customHeight="false" outlineLevel="0" collapsed="false">
      <c r="A78" s="15" t="s">
        <v>352</v>
      </c>
      <c r="B78" s="15" t="s">
        <v>94</v>
      </c>
      <c r="C78" s="15" t="str">
        <f aca="false">INDEX(Stages!$B$9:$B$25,MATCH(B78,Stages!$A$9:$A$25,0))</f>
        <v>Testing &amp; Pilot</v>
      </c>
      <c r="D78" s="15" t="str">
        <f aca="false">INDEX(Stages!$C$9:$C$25,MATCH(B78,Stages!$A$9:$A$25,0))</f>
        <v>Release 1</v>
      </c>
      <c r="E78" s="15" t="s">
        <v>353</v>
      </c>
      <c r="F78" s="15" t="s">
        <v>343</v>
      </c>
      <c r="G78" s="15" t="s">
        <v>354</v>
      </c>
      <c r="H78" s="15" t="s">
        <v>355</v>
      </c>
      <c r="I78" s="18" t="n">
        <v>3</v>
      </c>
      <c r="J78" s="18" t="s">
        <v>135</v>
      </c>
      <c r="K78" s="18" t="s">
        <v>136</v>
      </c>
    </row>
    <row r="79" customFormat="false" ht="15" hidden="false" customHeight="false" outlineLevel="0" collapsed="false">
      <c r="A79" s="15" t="s">
        <v>356</v>
      </c>
      <c r="B79" s="15" t="s">
        <v>94</v>
      </c>
      <c r="C79" s="15" t="str">
        <f aca="false">INDEX(Stages!$B$9:$B$25,MATCH(B79,Stages!$A$9:$A$25,0))</f>
        <v>Testing &amp; Pilot</v>
      </c>
      <c r="D79" s="15" t="str">
        <f aca="false">INDEX(Stages!$C$9:$C$25,MATCH(B79,Stages!$A$9:$A$25,0))</f>
        <v>Release 1</v>
      </c>
      <c r="E79" s="15" t="s">
        <v>357</v>
      </c>
      <c r="F79" s="15" t="s">
        <v>343</v>
      </c>
      <c r="G79" s="15" t="s">
        <v>358</v>
      </c>
      <c r="H79" s="15" t="s">
        <v>150</v>
      </c>
      <c r="I79" s="18" t="n">
        <v>5</v>
      </c>
      <c r="J79" s="18" t="s">
        <v>135</v>
      </c>
      <c r="K79" s="18" t="s">
        <v>136</v>
      </c>
    </row>
    <row r="80" customFormat="false" ht="15" hidden="false" customHeight="false" outlineLevel="0" collapsed="false">
      <c r="A80" s="15" t="s">
        <v>359</v>
      </c>
      <c r="B80" s="15" t="s">
        <v>98</v>
      </c>
      <c r="C80" s="15" t="str">
        <f aca="false">INDEX(Stages!$B$9:$B$25,MATCH(B80,Stages!$A$9:$A$25,0))</f>
        <v>Deployment, Training &amp; Go-live</v>
      </c>
      <c r="D80" s="15" t="str">
        <f aca="false">INDEX(Stages!$C$9:$C$25,MATCH(B80,Stages!$A$9:$A$25,0))</f>
        <v>Release 1</v>
      </c>
      <c r="E80" s="15" t="s">
        <v>360</v>
      </c>
      <c r="F80" s="15" t="s">
        <v>361</v>
      </c>
      <c r="G80" s="15" t="s">
        <v>177</v>
      </c>
      <c r="H80" s="15" t="s">
        <v>150</v>
      </c>
      <c r="I80" s="18" t="n">
        <v>2</v>
      </c>
      <c r="J80" s="18" t="s">
        <v>135</v>
      </c>
      <c r="K80" s="18" t="s">
        <v>136</v>
      </c>
    </row>
    <row r="81" customFormat="false" ht="15" hidden="false" customHeight="false" outlineLevel="0" collapsed="false">
      <c r="A81" s="15" t="s">
        <v>362</v>
      </c>
      <c r="B81" s="15" t="s">
        <v>98</v>
      </c>
      <c r="C81" s="15" t="str">
        <f aca="false">INDEX(Stages!$B$9:$B$25,MATCH(B81,Stages!$A$9:$A$25,0))</f>
        <v>Deployment, Training &amp; Go-live</v>
      </c>
      <c r="D81" s="15" t="str">
        <f aca="false">INDEX(Stages!$C$9:$C$25,MATCH(B81,Stages!$A$9:$A$25,0))</f>
        <v>Release 1</v>
      </c>
      <c r="E81" s="15" t="s">
        <v>363</v>
      </c>
      <c r="F81" s="15" t="s">
        <v>364</v>
      </c>
      <c r="G81" s="15" t="s">
        <v>140</v>
      </c>
      <c r="H81" s="15" t="s">
        <v>134</v>
      </c>
      <c r="I81" s="18" t="n">
        <v>3</v>
      </c>
      <c r="J81" s="18" t="s">
        <v>163</v>
      </c>
      <c r="K81" s="18" t="s">
        <v>136</v>
      </c>
    </row>
    <row r="82" customFormat="false" ht="15" hidden="false" customHeight="false" outlineLevel="0" collapsed="false">
      <c r="A82" s="15" t="s">
        <v>365</v>
      </c>
      <c r="B82" s="15" t="s">
        <v>98</v>
      </c>
      <c r="C82" s="15" t="str">
        <f aca="false">INDEX(Stages!$B$9:$B$25,MATCH(B82,Stages!$A$9:$A$25,0))</f>
        <v>Deployment, Training &amp; Go-live</v>
      </c>
      <c r="D82" s="15" t="str">
        <f aca="false">INDEX(Stages!$C$9:$C$25,MATCH(B82,Stages!$A$9:$A$25,0))</f>
        <v>Release 1</v>
      </c>
      <c r="E82" s="15" t="s">
        <v>366</v>
      </c>
      <c r="F82" s="15" t="s">
        <v>364</v>
      </c>
      <c r="G82" s="15" t="s">
        <v>358</v>
      </c>
      <c r="H82" s="15" t="s">
        <v>134</v>
      </c>
      <c r="I82" s="18" t="n">
        <v>1</v>
      </c>
      <c r="J82" s="18" t="s">
        <v>135</v>
      </c>
      <c r="K82" s="18" t="s">
        <v>136</v>
      </c>
    </row>
    <row r="83" customFormat="false" ht="15" hidden="false" customHeight="false" outlineLevel="0" collapsed="false">
      <c r="A83" s="15" t="s">
        <v>367</v>
      </c>
      <c r="B83" s="15" t="s">
        <v>98</v>
      </c>
      <c r="C83" s="15" t="str">
        <f aca="false">INDEX(Stages!$B$9:$B$25,MATCH(B83,Stages!$A$9:$A$25,0))</f>
        <v>Deployment, Training &amp; Go-live</v>
      </c>
      <c r="D83" s="15" t="str">
        <f aca="false">INDEX(Stages!$C$9:$C$25,MATCH(B83,Stages!$A$9:$A$25,0))</f>
        <v>Release 1</v>
      </c>
      <c r="E83" s="15" t="s">
        <v>368</v>
      </c>
      <c r="F83" s="15" t="s">
        <v>369</v>
      </c>
      <c r="G83" s="15" t="s">
        <v>140</v>
      </c>
      <c r="H83" s="15" t="s">
        <v>150</v>
      </c>
      <c r="I83" s="18" t="n">
        <v>1</v>
      </c>
      <c r="J83" s="18" t="s">
        <v>163</v>
      </c>
      <c r="K83" s="18" t="s">
        <v>136</v>
      </c>
    </row>
    <row r="84" customFormat="false" ht="15" hidden="false" customHeight="false" outlineLevel="0" collapsed="false">
      <c r="A84" s="15" t="s">
        <v>370</v>
      </c>
      <c r="B84" s="15" t="s">
        <v>102</v>
      </c>
      <c r="C84" s="15" t="str">
        <f aca="false">INDEX(Stages!$B$9:$B$25,MATCH(B84,Stages!$A$9:$A$25,0))</f>
        <v>Parent Communication &amp; Documents</v>
      </c>
      <c r="D84" s="15" t="str">
        <f aca="false">INDEX(Stages!$C$9:$C$25,MATCH(B84,Stages!$A$9:$A$25,0))</f>
        <v>Release 2</v>
      </c>
      <c r="E84" s="15" t="s">
        <v>371</v>
      </c>
      <c r="F84" s="15" t="s">
        <v>256</v>
      </c>
      <c r="G84" s="15" t="s">
        <v>372</v>
      </c>
      <c r="H84" s="15" t="s">
        <v>150</v>
      </c>
      <c r="I84" s="18" t="n">
        <v>4</v>
      </c>
      <c r="J84" s="18" t="s">
        <v>163</v>
      </c>
      <c r="K84" s="18" t="s">
        <v>136</v>
      </c>
    </row>
    <row r="85" customFormat="false" ht="15" hidden="false" customHeight="false" outlineLevel="0" collapsed="false">
      <c r="A85" s="15" t="s">
        <v>373</v>
      </c>
      <c r="B85" s="15" t="s">
        <v>102</v>
      </c>
      <c r="C85" s="15" t="str">
        <f aca="false">INDEX(Stages!$B$9:$B$25,MATCH(B85,Stages!$A$9:$A$25,0))</f>
        <v>Parent Communication &amp; Documents</v>
      </c>
      <c r="D85" s="15" t="str">
        <f aca="false">INDEX(Stages!$C$9:$C$25,MATCH(B85,Stages!$A$9:$A$25,0))</f>
        <v>Release 2</v>
      </c>
      <c r="E85" s="15" t="s">
        <v>374</v>
      </c>
      <c r="F85" s="15" t="s">
        <v>375</v>
      </c>
      <c r="G85" s="15" t="s">
        <v>231</v>
      </c>
      <c r="H85" s="15" t="s">
        <v>150</v>
      </c>
      <c r="I85" s="18" t="n">
        <v>4</v>
      </c>
      <c r="J85" s="18" t="s">
        <v>163</v>
      </c>
      <c r="K85" s="18" t="s">
        <v>136</v>
      </c>
    </row>
    <row r="86" customFormat="false" ht="15" hidden="false" customHeight="false" outlineLevel="0" collapsed="false">
      <c r="A86" s="15" t="s">
        <v>376</v>
      </c>
      <c r="B86" s="15" t="s">
        <v>102</v>
      </c>
      <c r="C86" s="15" t="str">
        <f aca="false">INDEX(Stages!$B$9:$B$25,MATCH(B86,Stages!$A$9:$A$25,0))</f>
        <v>Parent Communication &amp; Documents</v>
      </c>
      <c r="D86" s="15" t="str">
        <f aca="false">INDEX(Stages!$C$9:$C$25,MATCH(B86,Stages!$A$9:$A$25,0))</f>
        <v>Release 2</v>
      </c>
      <c r="E86" s="15" t="s">
        <v>377</v>
      </c>
      <c r="F86" s="15" t="s">
        <v>375</v>
      </c>
      <c r="G86" s="15" t="s">
        <v>187</v>
      </c>
      <c r="H86" s="15" t="s">
        <v>150</v>
      </c>
      <c r="I86" s="18" t="n">
        <v>1</v>
      </c>
      <c r="J86" s="18" t="s">
        <v>163</v>
      </c>
      <c r="K86" s="18" t="s">
        <v>136</v>
      </c>
    </row>
    <row r="87" customFormat="false" ht="15" hidden="false" customHeight="false" outlineLevel="0" collapsed="false">
      <c r="A87" s="15" t="s">
        <v>378</v>
      </c>
      <c r="B87" s="15" t="s">
        <v>102</v>
      </c>
      <c r="C87" s="15" t="str">
        <f aca="false">INDEX(Stages!$B$9:$B$25,MATCH(B87,Stages!$A$9:$A$25,0))</f>
        <v>Parent Communication &amp; Documents</v>
      </c>
      <c r="D87" s="15" t="str">
        <f aca="false">INDEX(Stages!$C$9:$C$25,MATCH(B87,Stages!$A$9:$A$25,0))</f>
        <v>Release 2</v>
      </c>
      <c r="E87" s="15" t="s">
        <v>379</v>
      </c>
      <c r="F87" s="15" t="s">
        <v>375</v>
      </c>
      <c r="G87" s="15" t="s">
        <v>372</v>
      </c>
      <c r="H87" s="15" t="s">
        <v>150</v>
      </c>
      <c r="I87" s="18" t="n">
        <v>4</v>
      </c>
      <c r="J87" s="18" t="s">
        <v>235</v>
      </c>
      <c r="K87" s="18" t="s">
        <v>136</v>
      </c>
    </row>
    <row r="88" customFormat="false" ht="15" hidden="false" customHeight="false" outlineLevel="0" collapsed="false">
      <c r="A88" s="15" t="s">
        <v>380</v>
      </c>
      <c r="B88" s="15" t="s">
        <v>102</v>
      </c>
      <c r="C88" s="15" t="str">
        <f aca="false">INDEX(Stages!$B$9:$B$25,MATCH(B88,Stages!$A$9:$A$25,0))</f>
        <v>Parent Communication &amp; Documents</v>
      </c>
      <c r="D88" s="15" t="str">
        <f aca="false">INDEX(Stages!$C$9:$C$25,MATCH(B88,Stages!$A$9:$A$25,0))</f>
        <v>Release 2</v>
      </c>
      <c r="E88" s="15" t="s">
        <v>381</v>
      </c>
      <c r="F88" s="15" t="s">
        <v>382</v>
      </c>
      <c r="G88" s="15" t="s">
        <v>314</v>
      </c>
      <c r="H88" s="15" t="s">
        <v>150</v>
      </c>
      <c r="I88" s="18" t="n">
        <v>3</v>
      </c>
      <c r="J88" s="18" t="s">
        <v>235</v>
      </c>
      <c r="K88" s="18" t="s">
        <v>136</v>
      </c>
    </row>
    <row r="89" customFormat="false" ht="23.85" hidden="false" customHeight="false" outlineLevel="0" collapsed="false">
      <c r="A89" s="15" t="s">
        <v>383</v>
      </c>
      <c r="B89" s="15" t="s">
        <v>107</v>
      </c>
      <c r="C89" s="15" t="str">
        <f aca="false">INDEX(Stages!$B$9:$B$25,MATCH(B89,Stages!$A$9:$A$25,0))</f>
        <v>Daily Reports, Development &amp; Staff Ops</v>
      </c>
      <c r="D89" s="15" t="str">
        <f aca="false">INDEX(Stages!$C$9:$C$25,MATCH(B89,Stages!$A$9:$A$25,0))</f>
        <v>Release 2</v>
      </c>
      <c r="E89" s="15" t="s">
        <v>384</v>
      </c>
      <c r="F89" s="15" t="s">
        <v>385</v>
      </c>
      <c r="G89" s="15" t="s">
        <v>242</v>
      </c>
      <c r="H89" s="15" t="s">
        <v>150</v>
      </c>
      <c r="I89" s="18" t="n">
        <v>4</v>
      </c>
      <c r="J89" s="18" t="s">
        <v>163</v>
      </c>
      <c r="K89" s="18" t="s">
        <v>136</v>
      </c>
    </row>
    <row r="90" customFormat="false" ht="23.85" hidden="false" customHeight="false" outlineLevel="0" collapsed="false">
      <c r="A90" s="15" t="s">
        <v>386</v>
      </c>
      <c r="B90" s="15" t="s">
        <v>107</v>
      </c>
      <c r="C90" s="15" t="str">
        <f aca="false">INDEX(Stages!$B$9:$B$25,MATCH(B90,Stages!$A$9:$A$25,0))</f>
        <v>Daily Reports, Development &amp; Staff Ops</v>
      </c>
      <c r="D90" s="15" t="str">
        <f aca="false">INDEX(Stages!$C$9:$C$25,MATCH(B90,Stages!$A$9:$A$25,0))</f>
        <v>Release 2</v>
      </c>
      <c r="E90" s="15" t="s">
        <v>387</v>
      </c>
      <c r="F90" s="15" t="s">
        <v>388</v>
      </c>
      <c r="G90" s="15" t="s">
        <v>242</v>
      </c>
      <c r="H90" s="15" t="s">
        <v>150</v>
      </c>
      <c r="I90" s="18" t="n">
        <v>4</v>
      </c>
      <c r="J90" s="18" t="s">
        <v>163</v>
      </c>
      <c r="K90" s="18" t="s">
        <v>136</v>
      </c>
    </row>
    <row r="91" customFormat="false" ht="23.85" hidden="false" customHeight="false" outlineLevel="0" collapsed="false">
      <c r="A91" s="15" t="s">
        <v>389</v>
      </c>
      <c r="B91" s="15" t="s">
        <v>107</v>
      </c>
      <c r="C91" s="15" t="str">
        <f aca="false">INDEX(Stages!$B$9:$B$25,MATCH(B91,Stages!$A$9:$A$25,0))</f>
        <v>Daily Reports, Development &amp; Staff Ops</v>
      </c>
      <c r="D91" s="15" t="str">
        <f aca="false">INDEX(Stages!$C$9:$C$25,MATCH(B91,Stages!$A$9:$A$25,0))</f>
        <v>Release 2</v>
      </c>
      <c r="E91" s="15" t="s">
        <v>390</v>
      </c>
      <c r="F91" s="15" t="s">
        <v>391</v>
      </c>
      <c r="G91" s="15" t="s">
        <v>242</v>
      </c>
      <c r="H91" s="15" t="s">
        <v>150</v>
      </c>
      <c r="I91" s="18" t="n">
        <v>4</v>
      </c>
      <c r="J91" s="18" t="s">
        <v>163</v>
      </c>
      <c r="K91" s="18" t="s">
        <v>136</v>
      </c>
    </row>
    <row r="92" customFormat="false" ht="23.85" hidden="false" customHeight="false" outlineLevel="0" collapsed="false">
      <c r="A92" s="15" t="s">
        <v>392</v>
      </c>
      <c r="B92" s="15" t="s">
        <v>107</v>
      </c>
      <c r="C92" s="15" t="str">
        <f aca="false">INDEX(Stages!$B$9:$B$25,MATCH(B92,Stages!$A$9:$A$25,0))</f>
        <v>Daily Reports, Development &amp; Staff Ops</v>
      </c>
      <c r="D92" s="15" t="str">
        <f aca="false">INDEX(Stages!$C$9:$C$25,MATCH(B92,Stages!$A$9:$A$25,0))</f>
        <v>Release 2</v>
      </c>
      <c r="E92" s="15" t="s">
        <v>393</v>
      </c>
      <c r="F92" s="15" t="s">
        <v>391</v>
      </c>
      <c r="G92" s="15" t="s">
        <v>187</v>
      </c>
      <c r="H92" s="15" t="s">
        <v>150</v>
      </c>
      <c r="I92" s="18" t="n">
        <v>1</v>
      </c>
      <c r="J92" s="18" t="s">
        <v>163</v>
      </c>
      <c r="K92" s="18" t="s">
        <v>136</v>
      </c>
    </row>
    <row r="93" customFormat="false" ht="23.85" hidden="false" customHeight="false" outlineLevel="0" collapsed="false">
      <c r="A93" s="15" t="s">
        <v>394</v>
      </c>
      <c r="B93" s="15" t="s">
        <v>107</v>
      </c>
      <c r="C93" s="15" t="str">
        <f aca="false">INDEX(Stages!$B$9:$B$25,MATCH(B93,Stages!$A$9:$A$25,0))</f>
        <v>Daily Reports, Development &amp; Staff Ops</v>
      </c>
      <c r="D93" s="15" t="str">
        <f aca="false">INDEX(Stages!$C$9:$C$25,MATCH(B93,Stages!$A$9:$A$25,0))</f>
        <v>Release 2</v>
      </c>
      <c r="E93" s="15" t="s">
        <v>395</v>
      </c>
      <c r="F93" s="15" t="s">
        <v>396</v>
      </c>
      <c r="G93" s="15" t="s">
        <v>242</v>
      </c>
      <c r="H93" s="15" t="s">
        <v>150</v>
      </c>
      <c r="I93" s="18" t="n">
        <v>3</v>
      </c>
      <c r="J93" s="18" t="s">
        <v>163</v>
      </c>
      <c r="K93" s="18" t="s">
        <v>136</v>
      </c>
    </row>
    <row r="94" customFormat="false" ht="23.85" hidden="false" customHeight="false" outlineLevel="0" collapsed="false">
      <c r="A94" s="15" t="s">
        <v>397</v>
      </c>
      <c r="B94" s="15" t="s">
        <v>107</v>
      </c>
      <c r="C94" s="15" t="str">
        <f aca="false">INDEX(Stages!$B$9:$B$25,MATCH(B94,Stages!$A$9:$A$25,0))</f>
        <v>Daily Reports, Development &amp; Staff Ops</v>
      </c>
      <c r="D94" s="15" t="str">
        <f aca="false">INDEX(Stages!$C$9:$C$25,MATCH(B94,Stages!$A$9:$A$25,0))</f>
        <v>Release 2</v>
      </c>
      <c r="E94" s="15" t="s">
        <v>398</v>
      </c>
      <c r="F94" s="15" t="s">
        <v>399</v>
      </c>
      <c r="G94" s="15" t="s">
        <v>242</v>
      </c>
      <c r="H94" s="15" t="s">
        <v>150</v>
      </c>
      <c r="I94" s="18" t="n">
        <v>4</v>
      </c>
      <c r="J94" s="18" t="s">
        <v>235</v>
      </c>
      <c r="K94" s="18" t="s">
        <v>136</v>
      </c>
    </row>
    <row r="95" customFormat="false" ht="23.85" hidden="false" customHeight="false" outlineLevel="0" collapsed="false">
      <c r="A95" s="15" t="s">
        <v>400</v>
      </c>
      <c r="B95" s="15" t="s">
        <v>111</v>
      </c>
      <c r="C95" s="15" t="str">
        <f aca="false">INDEX(Stages!$B$9:$B$25,MATCH(B95,Stages!$A$9:$A$25,0))</f>
        <v>AI Features</v>
      </c>
      <c r="D95" s="15" t="str">
        <f aca="false">INDEX(Stages!$C$9:$C$25,MATCH(B95,Stages!$A$9:$A$25,0))</f>
        <v>Release 2</v>
      </c>
      <c r="E95" s="15" t="s">
        <v>401</v>
      </c>
      <c r="F95" s="15" t="s">
        <v>402</v>
      </c>
      <c r="G95" s="15" t="s">
        <v>140</v>
      </c>
      <c r="H95" s="15" t="s">
        <v>134</v>
      </c>
      <c r="I95" s="18" t="n">
        <v>2</v>
      </c>
      <c r="J95" s="18" t="s">
        <v>135</v>
      </c>
      <c r="K95" s="18" t="s">
        <v>136</v>
      </c>
    </row>
    <row r="96" customFormat="false" ht="15" hidden="false" customHeight="false" outlineLevel="0" collapsed="false">
      <c r="A96" s="15" t="s">
        <v>403</v>
      </c>
      <c r="B96" s="15" t="s">
        <v>111</v>
      </c>
      <c r="C96" s="15" t="str">
        <f aca="false">INDEX(Stages!$B$9:$B$25,MATCH(B96,Stages!$A$9:$A$25,0))</f>
        <v>AI Features</v>
      </c>
      <c r="D96" s="15" t="str">
        <f aca="false">INDEX(Stages!$C$9:$C$25,MATCH(B96,Stages!$A$9:$A$25,0))</f>
        <v>Release 2</v>
      </c>
      <c r="E96" s="15" t="s">
        <v>404</v>
      </c>
      <c r="F96" s="15" t="s">
        <v>402</v>
      </c>
      <c r="G96" s="15" t="s">
        <v>405</v>
      </c>
      <c r="H96" s="15" t="s">
        <v>150</v>
      </c>
      <c r="I96" s="18" t="n">
        <v>2</v>
      </c>
      <c r="J96" s="18" t="s">
        <v>135</v>
      </c>
      <c r="K96" s="18" t="s">
        <v>136</v>
      </c>
    </row>
    <row r="97" customFormat="false" ht="15" hidden="false" customHeight="false" outlineLevel="0" collapsed="false">
      <c r="A97" s="15" t="s">
        <v>406</v>
      </c>
      <c r="B97" s="15" t="s">
        <v>111</v>
      </c>
      <c r="C97" s="15" t="str">
        <f aca="false">INDEX(Stages!$B$9:$B$25,MATCH(B97,Stages!$A$9:$A$25,0))</f>
        <v>AI Features</v>
      </c>
      <c r="D97" s="15" t="str">
        <f aca="false">INDEX(Stages!$C$9:$C$25,MATCH(B97,Stages!$A$9:$A$25,0))</f>
        <v>Release 2</v>
      </c>
      <c r="E97" s="15" t="s">
        <v>407</v>
      </c>
      <c r="F97" s="15" t="s">
        <v>402</v>
      </c>
      <c r="G97" s="15" t="s">
        <v>408</v>
      </c>
      <c r="H97" s="15" t="s">
        <v>150</v>
      </c>
      <c r="I97" s="18" t="n">
        <v>4</v>
      </c>
      <c r="J97" s="18" t="s">
        <v>163</v>
      </c>
      <c r="K97" s="18" t="s">
        <v>136</v>
      </c>
    </row>
    <row r="98" customFormat="false" ht="23.85" hidden="false" customHeight="false" outlineLevel="0" collapsed="false">
      <c r="A98" s="15" t="s">
        <v>409</v>
      </c>
      <c r="B98" s="15" t="s">
        <v>111</v>
      </c>
      <c r="C98" s="15" t="str">
        <f aca="false">INDEX(Stages!$B$9:$B$25,MATCH(B98,Stages!$A$9:$A$25,0))</f>
        <v>AI Features</v>
      </c>
      <c r="D98" s="15" t="str">
        <f aca="false">INDEX(Stages!$C$9:$C$25,MATCH(B98,Stages!$A$9:$A$25,0))</f>
        <v>Release 2</v>
      </c>
      <c r="E98" s="15" t="s">
        <v>410</v>
      </c>
      <c r="F98" s="15" t="s">
        <v>402</v>
      </c>
      <c r="G98" s="15" t="s">
        <v>411</v>
      </c>
      <c r="H98" s="15" t="s">
        <v>150</v>
      </c>
      <c r="I98" s="18" t="n">
        <v>4</v>
      </c>
      <c r="J98" s="18" t="s">
        <v>163</v>
      </c>
      <c r="K98" s="18" t="s">
        <v>136</v>
      </c>
    </row>
    <row r="99" customFormat="false" ht="15" hidden="false" customHeight="false" outlineLevel="0" collapsed="false">
      <c r="A99" s="15" t="s">
        <v>412</v>
      </c>
      <c r="B99" s="15" t="s">
        <v>111</v>
      </c>
      <c r="C99" s="15" t="str">
        <f aca="false">INDEX(Stages!$B$9:$B$25,MATCH(B99,Stages!$A$9:$A$25,0))</f>
        <v>AI Features</v>
      </c>
      <c r="D99" s="15" t="str">
        <f aca="false">INDEX(Stages!$C$9:$C$25,MATCH(B99,Stages!$A$9:$A$25,0))</f>
        <v>Release 2</v>
      </c>
      <c r="E99" s="15" t="s">
        <v>413</v>
      </c>
      <c r="F99" s="15" t="s">
        <v>402</v>
      </c>
      <c r="G99" s="15" t="s">
        <v>411</v>
      </c>
      <c r="H99" s="15" t="s">
        <v>150</v>
      </c>
      <c r="I99" s="18" t="n">
        <v>3</v>
      </c>
      <c r="J99" s="18" t="s">
        <v>163</v>
      </c>
      <c r="K99" s="18" t="s">
        <v>136</v>
      </c>
    </row>
    <row r="100" customFormat="false" ht="15" hidden="false" customHeight="false" outlineLevel="0" collapsed="false">
      <c r="A100" s="15" t="s">
        <v>414</v>
      </c>
      <c r="B100" s="15" t="s">
        <v>111</v>
      </c>
      <c r="C100" s="15" t="str">
        <f aca="false">INDEX(Stages!$B$9:$B$25,MATCH(B100,Stages!$A$9:$A$25,0))</f>
        <v>AI Features</v>
      </c>
      <c r="D100" s="15" t="str">
        <f aca="false">INDEX(Stages!$C$9:$C$25,MATCH(B100,Stages!$A$9:$A$25,0))</f>
        <v>Release 2</v>
      </c>
      <c r="E100" s="15" t="s">
        <v>415</v>
      </c>
      <c r="F100" s="15" t="s">
        <v>402</v>
      </c>
      <c r="G100" s="15" t="s">
        <v>411</v>
      </c>
      <c r="H100" s="15" t="s">
        <v>150</v>
      </c>
      <c r="I100" s="18" t="n">
        <v>2</v>
      </c>
      <c r="J100" s="18" t="s">
        <v>235</v>
      </c>
      <c r="K100" s="18" t="s">
        <v>136</v>
      </c>
    </row>
    <row r="101" customFormat="false" ht="15" hidden="false" customHeight="false" outlineLevel="0" collapsed="false">
      <c r="A101" s="15" t="s">
        <v>416</v>
      </c>
      <c r="B101" s="15" t="s">
        <v>111</v>
      </c>
      <c r="C101" s="15" t="str">
        <f aca="false">INDEX(Stages!$B$9:$B$25,MATCH(B101,Stages!$A$9:$A$25,0))</f>
        <v>AI Features</v>
      </c>
      <c r="D101" s="15" t="str">
        <f aca="false">INDEX(Stages!$C$9:$C$25,MATCH(B101,Stages!$A$9:$A$25,0))</f>
        <v>Release 2</v>
      </c>
      <c r="E101" s="15" t="s">
        <v>417</v>
      </c>
      <c r="F101" s="15" t="s">
        <v>402</v>
      </c>
      <c r="G101" s="15" t="s">
        <v>418</v>
      </c>
      <c r="H101" s="15" t="s">
        <v>150</v>
      </c>
      <c r="I101" s="18" t="n">
        <v>3</v>
      </c>
      <c r="J101" s="18" t="s">
        <v>163</v>
      </c>
      <c r="K101" s="18" t="s">
        <v>136</v>
      </c>
    </row>
    <row r="102" customFormat="false" ht="15" hidden="false" customHeight="false" outlineLevel="0" collapsed="false">
      <c r="A102" s="15" t="s">
        <v>419</v>
      </c>
      <c r="B102" s="15" t="s">
        <v>111</v>
      </c>
      <c r="C102" s="15" t="str">
        <f aca="false">INDEX(Stages!$B$9:$B$25,MATCH(B102,Stages!$A$9:$A$25,0))</f>
        <v>AI Features</v>
      </c>
      <c r="D102" s="15" t="str">
        <f aca="false">INDEX(Stages!$C$9:$C$25,MATCH(B102,Stages!$A$9:$A$25,0))</f>
        <v>Release 2</v>
      </c>
      <c r="E102" s="15" t="s">
        <v>420</v>
      </c>
      <c r="F102" s="15" t="s">
        <v>402</v>
      </c>
      <c r="G102" s="15" t="s">
        <v>421</v>
      </c>
      <c r="H102" s="15" t="s">
        <v>150</v>
      </c>
      <c r="I102" s="18" t="n">
        <v>4</v>
      </c>
      <c r="J102" s="18" t="s">
        <v>235</v>
      </c>
      <c r="K102" s="18" t="s">
        <v>136</v>
      </c>
    </row>
    <row r="103" customFormat="false" ht="15" hidden="false" customHeight="false" outlineLevel="0" collapsed="false">
      <c r="A103" s="15" t="s">
        <v>422</v>
      </c>
      <c r="B103" s="15" t="s">
        <v>115</v>
      </c>
      <c r="C103" s="15" t="str">
        <f aca="false">INDEX(Stages!$B$9:$B$25,MATCH(B103,Stages!$A$9:$A$25,0))</f>
        <v>Release 2 Testing &amp; Rollout</v>
      </c>
      <c r="D103" s="15" t="str">
        <f aca="false">INDEX(Stages!$C$9:$C$25,MATCH(B103,Stages!$A$9:$A$25,0))</f>
        <v>Release 2</v>
      </c>
      <c r="E103" s="15" t="s">
        <v>423</v>
      </c>
      <c r="F103" s="15" t="s">
        <v>343</v>
      </c>
      <c r="G103" s="15" t="s">
        <v>424</v>
      </c>
      <c r="H103" s="15" t="s">
        <v>150</v>
      </c>
      <c r="I103" s="18" t="n">
        <v>5</v>
      </c>
      <c r="J103" s="18" t="s">
        <v>135</v>
      </c>
      <c r="K103" s="18" t="s">
        <v>136</v>
      </c>
    </row>
    <row r="104" customFormat="false" ht="15" hidden="false" customHeight="false" outlineLevel="0" collapsed="false">
      <c r="A104" s="15" t="s">
        <v>425</v>
      </c>
      <c r="B104" s="15" t="s">
        <v>115</v>
      </c>
      <c r="C104" s="15" t="str">
        <f aca="false">INDEX(Stages!$B$9:$B$25,MATCH(B104,Stages!$A$9:$A$25,0))</f>
        <v>Release 2 Testing &amp; Rollout</v>
      </c>
      <c r="D104" s="15" t="str">
        <f aca="false">INDEX(Stages!$C$9:$C$25,MATCH(B104,Stages!$A$9:$A$25,0))</f>
        <v>Release 2</v>
      </c>
      <c r="E104" s="15" t="s">
        <v>426</v>
      </c>
      <c r="F104" s="15" t="s">
        <v>343</v>
      </c>
      <c r="G104" s="15" t="s">
        <v>354</v>
      </c>
      <c r="H104" s="15" t="s">
        <v>355</v>
      </c>
      <c r="I104" s="18" t="n">
        <v>3</v>
      </c>
      <c r="J104" s="18" t="s">
        <v>135</v>
      </c>
      <c r="K104" s="18" t="s">
        <v>136</v>
      </c>
    </row>
    <row r="105" customFormat="false" ht="15" hidden="false" customHeight="false" outlineLevel="0" collapsed="false">
      <c r="A105" s="15" t="s">
        <v>427</v>
      </c>
      <c r="B105" s="15" t="s">
        <v>115</v>
      </c>
      <c r="C105" s="15" t="str">
        <f aca="false">INDEX(Stages!$B$9:$B$25,MATCH(B105,Stages!$A$9:$A$25,0))</f>
        <v>Release 2 Testing &amp; Rollout</v>
      </c>
      <c r="D105" s="15" t="str">
        <f aca="false">INDEX(Stages!$C$9:$C$25,MATCH(B105,Stages!$A$9:$A$25,0))</f>
        <v>Release 2</v>
      </c>
      <c r="E105" s="15" t="s">
        <v>428</v>
      </c>
      <c r="F105" s="15" t="s">
        <v>343</v>
      </c>
      <c r="G105" s="15" t="s">
        <v>358</v>
      </c>
      <c r="H105" s="15" t="s">
        <v>150</v>
      </c>
      <c r="I105" s="18" t="n">
        <v>4</v>
      </c>
      <c r="J105" s="18" t="s">
        <v>135</v>
      </c>
      <c r="K105" s="18" t="s">
        <v>136</v>
      </c>
    </row>
    <row r="106" customFormat="false" ht="15" hidden="false" customHeight="false" outlineLevel="0" collapsed="false">
      <c r="A106" s="15" t="s">
        <v>429</v>
      </c>
      <c r="B106" s="15" t="s">
        <v>115</v>
      </c>
      <c r="C106" s="15" t="str">
        <f aca="false">INDEX(Stages!$B$9:$B$25,MATCH(B106,Stages!$A$9:$A$25,0))</f>
        <v>Release 2 Testing &amp; Rollout</v>
      </c>
      <c r="D106" s="15" t="str">
        <f aca="false">INDEX(Stages!$C$9:$C$25,MATCH(B106,Stages!$A$9:$A$25,0))</f>
        <v>Release 2</v>
      </c>
      <c r="E106" s="15" t="s">
        <v>430</v>
      </c>
      <c r="F106" s="15" t="s">
        <v>361</v>
      </c>
      <c r="G106" s="15" t="s">
        <v>177</v>
      </c>
      <c r="H106" s="15" t="s">
        <v>150</v>
      </c>
      <c r="I106" s="18" t="n">
        <v>2</v>
      </c>
      <c r="J106" s="18" t="s">
        <v>135</v>
      </c>
      <c r="K106" s="18" t="s">
        <v>136</v>
      </c>
    </row>
    <row r="107" customFormat="false" ht="15" hidden="false" customHeight="false" outlineLevel="0" collapsed="false">
      <c r="H107" s="8" t="s">
        <v>431</v>
      </c>
      <c r="I107" s="8" t="n">
        <f aca="false">SUM(I5:I106)</f>
        <v>253</v>
      </c>
    </row>
  </sheetData>
  <autoFilter ref="A4:K106"/>
  <conditionalFormatting sqref="K5:K106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"Blocked"</formula>
    </cfRule>
  </conditionalFormatting>
  <conditionalFormatting sqref="J5:J106">
    <cfRule type="cellIs" priority="4" operator="equal" aboveAverage="0" equalAverage="0" bottom="0" percent="0" rank="0" text="" dxfId="7">
      <formula>"High"</formula>
    </cfRule>
  </conditionalFormatting>
  <dataValidations count="2">
    <dataValidation allowBlank="true" errorStyle="stop" operator="between" showDropDown="false" showErrorMessage="false" showInputMessage="false" sqref="K5:K106" type="list">
      <formula1>"To do,In progress,Done,Blocked"</formula1>
      <formula2>0</formula2>
    </dataValidation>
    <dataValidation allowBlank="true" errorStyle="stop" operator="between" showDropDown="false" showErrorMessage="false" showInputMessage="false" sqref="J5:J10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432</v>
      </c>
    </row>
    <row r="2" customFormat="false" ht="15" hidden="false" customHeight="false" outlineLevel="0" collapsed="false">
      <c r="A2" s="10" t="s">
        <v>433</v>
      </c>
    </row>
    <row r="4" customFormat="false" ht="23.85" hidden="false" customHeight="false" outlineLevel="0" collapsed="false">
      <c r="A4" s="14" t="s">
        <v>434</v>
      </c>
      <c r="B4" s="14" t="s">
        <v>435</v>
      </c>
      <c r="C4" s="14" t="s">
        <v>436</v>
      </c>
      <c r="D4" s="14" t="s">
        <v>437</v>
      </c>
      <c r="E4" s="14" t="s">
        <v>40</v>
      </c>
      <c r="F4" s="14" t="s">
        <v>129</v>
      </c>
      <c r="G4" s="14" t="s">
        <v>438</v>
      </c>
      <c r="H4" s="14" t="s">
        <v>439</v>
      </c>
    </row>
    <row r="5" customFormat="false" ht="15" hidden="false" customHeight="false" outlineLevel="0" collapsed="false">
      <c r="A5" s="15" t="s">
        <v>440</v>
      </c>
      <c r="B5" s="15" t="s">
        <v>441</v>
      </c>
      <c r="C5" s="15" t="s">
        <v>442</v>
      </c>
      <c r="D5" s="15" t="s">
        <v>66</v>
      </c>
      <c r="E5" s="15" t="str">
        <f aca="false">INDEX(Stages!$C$9:$C$25,MATCH("S4",Stages!$A$9:$A$25,0))</f>
        <v>Release 1</v>
      </c>
      <c r="F5" s="15" t="s">
        <v>443</v>
      </c>
      <c r="G5" s="15" t="n">
        <f aca="false">COUNTIF(Backlog!$B$5:$B$106,"S4")</f>
        <v>8</v>
      </c>
      <c r="H5" s="18" t="s">
        <v>444</v>
      </c>
    </row>
    <row r="6" customFormat="false" ht="15" hidden="false" customHeight="false" outlineLevel="0" collapsed="false">
      <c r="A6" s="15" t="s">
        <v>445</v>
      </c>
      <c r="B6" s="15" t="s">
        <v>446</v>
      </c>
      <c r="C6" s="15" t="s">
        <v>442</v>
      </c>
      <c r="D6" s="15" t="s">
        <v>66</v>
      </c>
      <c r="E6" s="15" t="str">
        <f aca="false">INDEX(Stages!$C$9:$C$25,MATCH("S4",Stages!$A$9:$A$25,0))</f>
        <v>Release 1</v>
      </c>
      <c r="F6" s="15" t="s">
        <v>443</v>
      </c>
      <c r="G6" s="15" t="n">
        <f aca="false">COUNTIF(Backlog!$B$5:$B$106,"S4")</f>
        <v>8</v>
      </c>
      <c r="H6" s="18" t="s">
        <v>444</v>
      </c>
    </row>
    <row r="7" customFormat="false" ht="15" hidden="false" customHeight="false" outlineLevel="0" collapsed="false">
      <c r="A7" s="15" t="s">
        <v>447</v>
      </c>
      <c r="B7" s="15" t="s">
        <v>448</v>
      </c>
      <c r="C7" s="15" t="s">
        <v>442</v>
      </c>
      <c r="D7" s="15" t="s">
        <v>66</v>
      </c>
      <c r="E7" s="15" t="str">
        <f aca="false">INDEX(Stages!$C$9:$C$25,MATCH("S4",Stages!$A$9:$A$25,0))</f>
        <v>Release 1</v>
      </c>
      <c r="F7" s="15" t="s">
        <v>443</v>
      </c>
      <c r="G7" s="15" t="n">
        <f aca="false">COUNTIF(Backlog!$B$5:$B$106,"S4")</f>
        <v>8</v>
      </c>
      <c r="H7" s="18" t="s">
        <v>444</v>
      </c>
    </row>
    <row r="8" customFormat="false" ht="15" hidden="false" customHeight="false" outlineLevel="0" collapsed="false">
      <c r="A8" s="15" t="s">
        <v>449</v>
      </c>
      <c r="B8" s="15" t="s">
        <v>450</v>
      </c>
      <c r="C8" s="15" t="s">
        <v>442</v>
      </c>
      <c r="D8" s="15" t="s">
        <v>451</v>
      </c>
      <c r="E8" s="15" t="str">
        <f aca="false">INDEX(Stages!$C$9:$C$25,MATCH("S2",Stages!$A$9:$A$25,0))</f>
        <v>Release 1</v>
      </c>
      <c r="F8" s="15" t="s">
        <v>443</v>
      </c>
      <c r="G8" s="15" t="n">
        <f aca="false">COUNTIF(Backlog!$B$5:$B$106,"S2")+COUNTIF(Backlog!$B$5:$B$106,"S3")+COUNTIF(Backlog!$B$5:$B$106,"S10")+COUNTIF(Backlog!$B$5:$B$106,"S12")</f>
        <v>25</v>
      </c>
      <c r="H8" s="18" t="s">
        <v>444</v>
      </c>
    </row>
    <row r="9" customFormat="false" ht="15" hidden="false" customHeight="false" outlineLevel="0" collapsed="false">
      <c r="A9" s="15" t="s">
        <v>452</v>
      </c>
      <c r="B9" s="15" t="s">
        <v>453</v>
      </c>
      <c r="C9" s="15" t="s">
        <v>442</v>
      </c>
      <c r="D9" s="15" t="s">
        <v>111</v>
      </c>
      <c r="E9" s="15" t="str">
        <f aca="false">INDEX(Stages!$C$9:$C$25,MATCH("S15",Stages!$A$9:$A$25,0))</f>
        <v>Release 2</v>
      </c>
      <c r="F9" s="15" t="s">
        <v>454</v>
      </c>
      <c r="G9" s="15" t="n">
        <f aca="false">COUNTIF(Backlog!$B$5:$B$106,"S15")</f>
        <v>8</v>
      </c>
      <c r="H9" s="18" t="s">
        <v>444</v>
      </c>
    </row>
    <row r="10" customFormat="false" ht="15" hidden="false" customHeight="false" outlineLevel="0" collapsed="false">
      <c r="A10" s="15" t="s">
        <v>455</v>
      </c>
      <c r="B10" s="15" t="s">
        <v>456</v>
      </c>
      <c r="C10" s="15" t="s">
        <v>442</v>
      </c>
      <c r="D10" s="15" t="s">
        <v>70</v>
      </c>
      <c r="E10" s="15" t="str">
        <f aca="false">INDEX(Stages!$C$9:$C$25,MATCH("S5",Stages!$A$9:$A$25,0))</f>
        <v>Release 1</v>
      </c>
      <c r="F10" s="15" t="s">
        <v>443</v>
      </c>
      <c r="G10" s="15" t="n">
        <f aca="false">COUNTIF(Backlog!$B$5:$B$106,"S5")</f>
        <v>10</v>
      </c>
      <c r="H10" s="18" t="s">
        <v>444</v>
      </c>
    </row>
    <row r="11" customFormat="false" ht="15" hidden="false" customHeight="false" outlineLevel="0" collapsed="false">
      <c r="A11" s="15" t="s">
        <v>457</v>
      </c>
      <c r="B11" s="15" t="s">
        <v>458</v>
      </c>
      <c r="C11" s="15" t="s">
        <v>442</v>
      </c>
      <c r="D11" s="15" t="s">
        <v>70</v>
      </c>
      <c r="E11" s="15" t="str">
        <f aca="false">INDEX(Stages!$C$9:$C$25,MATCH("S5",Stages!$A$9:$A$25,0))</f>
        <v>Release 1</v>
      </c>
      <c r="F11" s="15" t="s">
        <v>443</v>
      </c>
      <c r="G11" s="15" t="n">
        <f aca="false">COUNTIF(Backlog!$B$5:$B$106,"S5")</f>
        <v>10</v>
      </c>
      <c r="H11" s="18" t="s">
        <v>444</v>
      </c>
    </row>
    <row r="12" customFormat="false" ht="15" hidden="false" customHeight="false" outlineLevel="0" collapsed="false">
      <c r="A12" s="15" t="s">
        <v>459</v>
      </c>
      <c r="B12" s="15" t="s">
        <v>460</v>
      </c>
      <c r="C12" s="15" t="s">
        <v>442</v>
      </c>
      <c r="D12" s="15" t="s">
        <v>461</v>
      </c>
      <c r="E12" s="15" t="str">
        <f aca="false">INDEX(Stages!$C$9:$C$25,MATCH("S5",Stages!$A$9:$A$25,0))</f>
        <v>Release 1</v>
      </c>
      <c r="F12" s="15" t="s">
        <v>443</v>
      </c>
      <c r="G12" s="15" t="n">
        <f aca="false">COUNTIF(Backlog!$B$5:$B$106,"S5")+COUNTIF(Backlog!$B$5:$B$106,"S10")</f>
        <v>15</v>
      </c>
      <c r="H12" s="18" t="s">
        <v>444</v>
      </c>
    </row>
    <row r="13" customFormat="false" ht="15" hidden="false" customHeight="false" outlineLevel="0" collapsed="false">
      <c r="A13" s="15" t="s">
        <v>462</v>
      </c>
      <c r="B13" s="15" t="s">
        <v>463</v>
      </c>
      <c r="C13" s="15" t="s">
        <v>442</v>
      </c>
      <c r="D13" s="15" t="s">
        <v>70</v>
      </c>
      <c r="E13" s="15" t="str">
        <f aca="false">INDEX(Stages!$C$9:$C$25,MATCH("S5",Stages!$A$9:$A$25,0))</f>
        <v>Release 1</v>
      </c>
      <c r="F13" s="15" t="s">
        <v>443</v>
      </c>
      <c r="G13" s="15" t="n">
        <f aca="false">COUNTIF(Backlog!$B$5:$B$106,"S5")</f>
        <v>10</v>
      </c>
      <c r="H13" s="18" t="s">
        <v>444</v>
      </c>
    </row>
    <row r="14" customFormat="false" ht="15" hidden="false" customHeight="false" outlineLevel="0" collapsed="false">
      <c r="A14" s="15" t="s">
        <v>464</v>
      </c>
      <c r="B14" s="15" t="s">
        <v>465</v>
      </c>
      <c r="C14" s="15" t="s">
        <v>442</v>
      </c>
      <c r="D14" s="15" t="s">
        <v>74</v>
      </c>
      <c r="E14" s="15" t="str">
        <f aca="false">INDEX(Stages!$C$9:$C$25,MATCH("S6",Stages!$A$9:$A$25,0))</f>
        <v>Release 1</v>
      </c>
      <c r="F14" s="15" t="s">
        <v>443</v>
      </c>
      <c r="G14" s="15" t="n">
        <f aca="false">COUNTIF(Backlog!$B$5:$B$106,"S6")</f>
        <v>5</v>
      </c>
      <c r="H14" s="18" t="s">
        <v>444</v>
      </c>
    </row>
    <row r="15" customFormat="false" ht="15" hidden="false" customHeight="false" outlineLevel="0" collapsed="false">
      <c r="A15" s="15" t="s">
        <v>466</v>
      </c>
      <c r="B15" s="15" t="s">
        <v>467</v>
      </c>
      <c r="C15" s="15" t="s">
        <v>442</v>
      </c>
      <c r="D15" s="15" t="s">
        <v>74</v>
      </c>
      <c r="E15" s="15" t="str">
        <f aca="false">INDEX(Stages!$C$9:$C$25,MATCH("S6",Stages!$A$9:$A$25,0))</f>
        <v>Release 1</v>
      </c>
      <c r="F15" s="15" t="s">
        <v>443</v>
      </c>
      <c r="G15" s="15" t="n">
        <f aca="false">COUNTIF(Backlog!$B$5:$B$106,"S6")</f>
        <v>5</v>
      </c>
      <c r="H15" s="18" t="s">
        <v>444</v>
      </c>
    </row>
    <row r="16" customFormat="false" ht="15" hidden="false" customHeight="false" outlineLevel="0" collapsed="false">
      <c r="A16" s="15" t="s">
        <v>468</v>
      </c>
      <c r="B16" s="15" t="s">
        <v>469</v>
      </c>
      <c r="C16" s="15" t="s">
        <v>442</v>
      </c>
      <c r="D16" s="15" t="s">
        <v>74</v>
      </c>
      <c r="E16" s="15" t="str">
        <f aca="false">INDEX(Stages!$C$9:$C$25,MATCH("S6",Stages!$A$9:$A$25,0))</f>
        <v>Release 1</v>
      </c>
      <c r="F16" s="15" t="s">
        <v>443</v>
      </c>
      <c r="G16" s="15" t="n">
        <f aca="false">COUNTIF(Backlog!$B$5:$B$106,"S6")</f>
        <v>5</v>
      </c>
      <c r="H16" s="18" t="s">
        <v>444</v>
      </c>
    </row>
    <row r="17" customFormat="false" ht="15" hidden="false" customHeight="false" outlineLevel="0" collapsed="false">
      <c r="A17" s="15" t="s">
        <v>470</v>
      </c>
      <c r="B17" s="15" t="s">
        <v>471</v>
      </c>
      <c r="C17" s="15" t="s">
        <v>442</v>
      </c>
      <c r="D17" s="15" t="s">
        <v>78</v>
      </c>
      <c r="E17" s="15" t="str">
        <f aca="false">INDEX(Stages!$C$9:$C$25,MATCH("S7",Stages!$A$9:$A$25,0))</f>
        <v>Release 1</v>
      </c>
      <c r="F17" s="15" t="s">
        <v>443</v>
      </c>
      <c r="G17" s="15" t="n">
        <f aca="false">COUNTIF(Backlog!$B$5:$B$106,"S7")</f>
        <v>5</v>
      </c>
      <c r="H17" s="18" t="s">
        <v>444</v>
      </c>
    </row>
    <row r="18" customFormat="false" ht="15" hidden="false" customHeight="false" outlineLevel="0" collapsed="false">
      <c r="A18" s="15" t="s">
        <v>472</v>
      </c>
      <c r="B18" s="15" t="s">
        <v>473</v>
      </c>
      <c r="C18" s="15" t="s">
        <v>442</v>
      </c>
      <c r="D18" s="15" t="s">
        <v>461</v>
      </c>
      <c r="E18" s="15" t="str">
        <f aca="false">INDEX(Stages!$C$9:$C$25,MATCH("S5",Stages!$A$9:$A$25,0))</f>
        <v>Release 1</v>
      </c>
      <c r="F18" s="15" t="s">
        <v>443</v>
      </c>
      <c r="G18" s="15" t="n">
        <f aca="false">COUNTIF(Backlog!$B$5:$B$106,"S5")+COUNTIF(Backlog!$B$5:$B$106,"S10")</f>
        <v>15</v>
      </c>
      <c r="H18" s="18" t="s">
        <v>444</v>
      </c>
    </row>
    <row r="19" customFormat="false" ht="15" hidden="false" customHeight="false" outlineLevel="0" collapsed="false">
      <c r="A19" s="15" t="s">
        <v>474</v>
      </c>
      <c r="B19" s="15" t="s">
        <v>475</v>
      </c>
      <c r="C19" s="15" t="s">
        <v>442</v>
      </c>
      <c r="D19" s="15" t="s">
        <v>476</v>
      </c>
      <c r="E19" s="15" t="str">
        <f aca="false">INDEX(Stages!$C$9:$C$25,MATCH("S1",Stages!$A$9:$A$25,0))</f>
        <v>Release 1</v>
      </c>
      <c r="F19" s="15" t="s">
        <v>443</v>
      </c>
      <c r="G19" s="15" t="n">
        <f aca="false">COUNTIF(Backlog!$B$5:$B$106,"S1")+COUNTIF(Backlog!$B$5:$B$106,"S11")</f>
        <v>12</v>
      </c>
      <c r="H19" s="18" t="s">
        <v>444</v>
      </c>
    </row>
    <row r="20" customFormat="false" ht="15" hidden="false" customHeight="false" outlineLevel="0" collapsed="false">
      <c r="A20" s="15" t="s">
        <v>477</v>
      </c>
      <c r="B20" s="15" t="s">
        <v>478</v>
      </c>
      <c r="C20" s="15" t="s">
        <v>442</v>
      </c>
      <c r="D20" s="15" t="s">
        <v>86</v>
      </c>
      <c r="E20" s="15" t="str">
        <f aca="false">INDEX(Stages!$C$9:$C$25,MATCH("S9",Stages!$A$9:$A$25,0))</f>
        <v>Release 1</v>
      </c>
      <c r="F20" s="15" t="s">
        <v>443</v>
      </c>
      <c r="G20" s="15" t="n">
        <f aca="false">COUNTIF(Backlog!$B$5:$B$106,"S9")</f>
        <v>3</v>
      </c>
      <c r="H20" s="18" t="s">
        <v>444</v>
      </c>
    </row>
    <row r="21" customFormat="false" ht="15" hidden="false" customHeight="false" outlineLevel="0" collapsed="false">
      <c r="A21" s="15" t="s">
        <v>479</v>
      </c>
      <c r="B21" s="15" t="s">
        <v>480</v>
      </c>
      <c r="C21" s="15" t="s">
        <v>442</v>
      </c>
      <c r="D21" s="15" t="s">
        <v>86</v>
      </c>
      <c r="E21" s="15" t="str">
        <f aca="false">INDEX(Stages!$C$9:$C$25,MATCH("S9",Stages!$A$9:$A$25,0))</f>
        <v>Release 1</v>
      </c>
      <c r="F21" s="15" t="s">
        <v>443</v>
      </c>
      <c r="G21" s="15" t="n">
        <f aca="false">COUNTIF(Backlog!$B$5:$B$106,"S9")</f>
        <v>3</v>
      </c>
      <c r="H21" s="18" t="s">
        <v>444</v>
      </c>
    </row>
    <row r="22" customFormat="false" ht="15" hidden="false" customHeight="false" outlineLevel="0" collapsed="false">
      <c r="A22" s="15" t="s">
        <v>481</v>
      </c>
      <c r="B22" s="15" t="s">
        <v>482</v>
      </c>
      <c r="C22" s="15" t="s">
        <v>483</v>
      </c>
      <c r="D22" s="15" t="s">
        <v>484</v>
      </c>
      <c r="E22" s="15" t="str">
        <f aca="false">INDEX(Stages!$C$9:$C$25,MATCH("S5",Stages!$A$9:$A$25,0))</f>
        <v>Release 1</v>
      </c>
      <c r="F22" s="15" t="s">
        <v>443</v>
      </c>
      <c r="G22" s="15" t="n">
        <f aca="false">COUNTIF(Backlog!$B$5:$B$106,"S5")+COUNTIF(Backlog!$B$5:$B$106,"S8")</f>
        <v>15</v>
      </c>
      <c r="H22" s="18" t="s">
        <v>444</v>
      </c>
    </row>
    <row r="23" customFormat="false" ht="15" hidden="false" customHeight="false" outlineLevel="0" collapsed="false">
      <c r="A23" s="15" t="s">
        <v>485</v>
      </c>
      <c r="B23" s="15" t="s">
        <v>486</v>
      </c>
      <c r="C23" s="15" t="s">
        <v>483</v>
      </c>
      <c r="D23" s="15" t="s">
        <v>70</v>
      </c>
      <c r="E23" s="15" t="str">
        <f aca="false">INDEX(Stages!$C$9:$C$25,MATCH("S5",Stages!$A$9:$A$25,0))</f>
        <v>Release 1</v>
      </c>
      <c r="F23" s="15" t="s">
        <v>443</v>
      </c>
      <c r="G23" s="15" t="n">
        <f aca="false">COUNTIF(Backlog!$B$5:$B$106,"S5")</f>
        <v>10</v>
      </c>
      <c r="H23" s="18" t="s">
        <v>444</v>
      </c>
    </row>
    <row r="24" customFormat="false" ht="15" hidden="false" customHeight="false" outlineLevel="0" collapsed="false">
      <c r="A24" s="15" t="s">
        <v>487</v>
      </c>
      <c r="B24" s="15" t="s">
        <v>488</v>
      </c>
      <c r="C24" s="15" t="s">
        <v>483</v>
      </c>
      <c r="D24" s="15" t="s">
        <v>82</v>
      </c>
      <c r="E24" s="15" t="str">
        <f aca="false">INDEX(Stages!$C$9:$C$25,MATCH("S8",Stages!$A$9:$A$25,0))</f>
        <v>Release 1</v>
      </c>
      <c r="F24" s="15" t="s">
        <v>443</v>
      </c>
      <c r="G24" s="15" t="n">
        <f aca="false">COUNTIF(Backlog!$B$5:$B$106,"S8")</f>
        <v>5</v>
      </c>
      <c r="H24" s="18" t="s">
        <v>444</v>
      </c>
    </row>
    <row r="25" customFormat="false" ht="15" hidden="false" customHeight="false" outlineLevel="0" collapsed="false">
      <c r="A25" s="15" t="s">
        <v>489</v>
      </c>
      <c r="B25" s="15" t="s">
        <v>490</v>
      </c>
      <c r="C25" s="15" t="s">
        <v>483</v>
      </c>
      <c r="D25" s="15" t="s">
        <v>82</v>
      </c>
      <c r="E25" s="15" t="str">
        <f aca="false">INDEX(Stages!$C$9:$C$25,MATCH("S8",Stages!$A$9:$A$25,0))</f>
        <v>Release 1</v>
      </c>
      <c r="F25" s="15" t="s">
        <v>443</v>
      </c>
      <c r="G25" s="15" t="n">
        <f aca="false">COUNTIF(Backlog!$B$5:$B$106,"S8")</f>
        <v>5</v>
      </c>
      <c r="H25" s="18" t="s">
        <v>444</v>
      </c>
    </row>
    <row r="26" customFormat="false" ht="15" hidden="false" customHeight="false" outlineLevel="0" collapsed="false">
      <c r="A26" s="15" t="s">
        <v>491</v>
      </c>
      <c r="B26" s="15" t="s">
        <v>492</v>
      </c>
      <c r="C26" s="15" t="s">
        <v>483</v>
      </c>
      <c r="D26" s="15" t="s">
        <v>70</v>
      </c>
      <c r="E26" s="15" t="str">
        <f aca="false">INDEX(Stages!$C$9:$C$25,MATCH("S5",Stages!$A$9:$A$25,0))</f>
        <v>Release 1</v>
      </c>
      <c r="F26" s="15" t="s">
        <v>443</v>
      </c>
      <c r="G26" s="15" t="n">
        <f aca="false">COUNTIF(Backlog!$B$5:$B$106,"S5")</f>
        <v>10</v>
      </c>
      <c r="H26" s="18" t="s">
        <v>444</v>
      </c>
    </row>
    <row r="27" customFormat="false" ht="15" hidden="false" customHeight="false" outlineLevel="0" collapsed="false">
      <c r="A27" s="15" t="s">
        <v>493</v>
      </c>
      <c r="B27" s="15" t="s">
        <v>494</v>
      </c>
      <c r="C27" s="15" t="s">
        <v>483</v>
      </c>
      <c r="D27" s="15" t="s">
        <v>82</v>
      </c>
      <c r="E27" s="15" t="str">
        <f aca="false">INDEX(Stages!$C$9:$C$25,MATCH("S8",Stages!$A$9:$A$25,0))</f>
        <v>Release 1</v>
      </c>
      <c r="F27" s="15" t="s">
        <v>443</v>
      </c>
      <c r="G27" s="15" t="n">
        <f aca="false">COUNTIF(Backlog!$B$5:$B$106,"S8")</f>
        <v>5</v>
      </c>
      <c r="H27" s="18" t="s">
        <v>444</v>
      </c>
    </row>
    <row r="28" customFormat="false" ht="15" hidden="false" customHeight="false" outlineLevel="0" collapsed="false">
      <c r="A28" s="15" t="s">
        <v>495</v>
      </c>
      <c r="B28" s="15" t="s">
        <v>496</v>
      </c>
      <c r="C28" s="15" t="s">
        <v>483</v>
      </c>
      <c r="D28" s="15" t="s">
        <v>78</v>
      </c>
      <c r="E28" s="15" t="str">
        <f aca="false">INDEX(Stages!$C$9:$C$25,MATCH("S7",Stages!$A$9:$A$25,0))</f>
        <v>Release 1</v>
      </c>
      <c r="F28" s="15" t="s">
        <v>454</v>
      </c>
      <c r="G28" s="15" t="n">
        <f aca="false">COUNTIF(Backlog!$B$5:$B$106,"S7")</f>
        <v>5</v>
      </c>
      <c r="H28" s="18" t="s">
        <v>444</v>
      </c>
    </row>
    <row r="29" customFormat="false" ht="15" hidden="false" customHeight="false" outlineLevel="0" collapsed="false">
      <c r="A29" s="15" t="s">
        <v>497</v>
      </c>
      <c r="B29" s="15" t="s">
        <v>498</v>
      </c>
      <c r="C29" s="15" t="s">
        <v>483</v>
      </c>
      <c r="D29" s="15" t="s">
        <v>107</v>
      </c>
      <c r="E29" s="15" t="str">
        <f aca="false">INDEX(Stages!$C$9:$C$25,MATCH("S14",Stages!$A$9:$A$25,0))</f>
        <v>Release 2</v>
      </c>
      <c r="F29" s="15" t="s">
        <v>454</v>
      </c>
      <c r="G29" s="15" t="n">
        <f aca="false">COUNTIF(Backlog!$B$5:$B$106,"S14")</f>
        <v>6</v>
      </c>
      <c r="H29" s="18" t="s">
        <v>444</v>
      </c>
    </row>
    <row r="30" customFormat="false" ht="15" hidden="false" customHeight="false" outlineLevel="0" collapsed="false">
      <c r="A30" s="15" t="s">
        <v>499</v>
      </c>
      <c r="B30" s="15" t="s">
        <v>500</v>
      </c>
      <c r="C30" s="15" t="s">
        <v>483</v>
      </c>
      <c r="D30" s="15" t="s">
        <v>107</v>
      </c>
      <c r="E30" s="15" t="str">
        <f aca="false">INDEX(Stages!$C$9:$C$25,MATCH("S14",Stages!$A$9:$A$25,0))</f>
        <v>Release 2</v>
      </c>
      <c r="F30" s="15" t="s">
        <v>454</v>
      </c>
      <c r="G30" s="15" t="n">
        <f aca="false">COUNTIF(Backlog!$B$5:$B$106,"S14")</f>
        <v>6</v>
      </c>
      <c r="H30" s="18" t="s">
        <v>444</v>
      </c>
    </row>
    <row r="31" customFormat="false" ht="15" hidden="false" customHeight="false" outlineLevel="0" collapsed="false">
      <c r="A31" s="15" t="s">
        <v>501</v>
      </c>
      <c r="B31" s="15" t="s">
        <v>502</v>
      </c>
      <c r="C31" s="15" t="s">
        <v>483</v>
      </c>
      <c r="D31" s="15" t="s">
        <v>102</v>
      </c>
      <c r="E31" s="15" t="str">
        <f aca="false">INDEX(Stages!$C$9:$C$25,MATCH("S13",Stages!$A$9:$A$25,0))</f>
        <v>Release 2</v>
      </c>
      <c r="F31" s="15" t="s">
        <v>454</v>
      </c>
      <c r="G31" s="15" t="n">
        <f aca="false">COUNTIF(Backlog!$B$5:$B$106,"S13")</f>
        <v>5</v>
      </c>
      <c r="H31" s="18" t="s">
        <v>444</v>
      </c>
    </row>
    <row r="32" customFormat="false" ht="15" hidden="false" customHeight="false" outlineLevel="0" collapsed="false">
      <c r="A32" s="15" t="s">
        <v>503</v>
      </c>
      <c r="B32" s="15" t="s">
        <v>504</v>
      </c>
      <c r="C32" s="15" t="s">
        <v>483</v>
      </c>
      <c r="D32" s="15" t="s">
        <v>107</v>
      </c>
      <c r="E32" s="15" t="str">
        <f aca="false">INDEX(Stages!$C$9:$C$25,MATCH("S14",Stages!$A$9:$A$25,0))</f>
        <v>Release 2</v>
      </c>
      <c r="F32" s="15" t="s">
        <v>454</v>
      </c>
      <c r="G32" s="15" t="n">
        <f aca="false">COUNTIF(Backlog!$B$5:$B$106,"S14")</f>
        <v>6</v>
      </c>
      <c r="H32" s="18" t="s">
        <v>444</v>
      </c>
    </row>
    <row r="33" customFormat="false" ht="15" hidden="false" customHeight="false" outlineLevel="0" collapsed="false">
      <c r="A33" s="15" t="s">
        <v>505</v>
      </c>
      <c r="B33" s="15" t="s">
        <v>506</v>
      </c>
      <c r="C33" s="15" t="s">
        <v>483</v>
      </c>
      <c r="D33" s="15" t="s">
        <v>107</v>
      </c>
      <c r="E33" s="15" t="str">
        <f aca="false">INDEX(Stages!$C$9:$C$25,MATCH("S14",Stages!$A$9:$A$25,0))</f>
        <v>Release 2</v>
      </c>
      <c r="F33" s="15" t="s">
        <v>454</v>
      </c>
      <c r="G33" s="15" t="n">
        <f aca="false">COUNTIF(Backlog!$B$5:$B$106,"S14")</f>
        <v>6</v>
      </c>
      <c r="H33" s="18" t="s">
        <v>444</v>
      </c>
    </row>
    <row r="34" customFormat="false" ht="15" hidden="false" customHeight="false" outlineLevel="0" collapsed="false">
      <c r="A34" s="15" t="s">
        <v>507</v>
      </c>
      <c r="B34" s="15" t="s">
        <v>398</v>
      </c>
      <c r="C34" s="15" t="s">
        <v>483</v>
      </c>
      <c r="D34" s="15" t="s">
        <v>107</v>
      </c>
      <c r="E34" s="15" t="str">
        <f aca="false">INDEX(Stages!$C$9:$C$25,MATCH("S14",Stages!$A$9:$A$25,0))</f>
        <v>Release 2</v>
      </c>
      <c r="F34" s="15" t="s">
        <v>508</v>
      </c>
      <c r="G34" s="15" t="n">
        <f aca="false">COUNTIF(Backlog!$B$5:$B$106,"S14")</f>
        <v>6</v>
      </c>
      <c r="H34" s="18" t="s">
        <v>444</v>
      </c>
    </row>
    <row r="35" customFormat="false" ht="15" hidden="false" customHeight="false" outlineLevel="0" collapsed="false">
      <c r="A35" s="15" t="s">
        <v>509</v>
      </c>
      <c r="B35" s="15" t="s">
        <v>510</v>
      </c>
      <c r="C35" s="15" t="s">
        <v>483</v>
      </c>
      <c r="D35" s="15" t="s">
        <v>102</v>
      </c>
      <c r="E35" s="15" t="str">
        <f aca="false">INDEX(Stages!$C$9:$C$25,MATCH("S13",Stages!$A$9:$A$25,0))</f>
        <v>Release 2</v>
      </c>
      <c r="F35" s="15" t="s">
        <v>508</v>
      </c>
      <c r="G35" s="15" t="n">
        <f aca="false">COUNTIF(Backlog!$B$5:$B$106,"S13")</f>
        <v>5</v>
      </c>
      <c r="H35" s="18" t="s">
        <v>444</v>
      </c>
    </row>
    <row r="36" customFormat="false" ht="15" hidden="false" customHeight="false" outlineLevel="0" collapsed="false">
      <c r="A36" s="15" t="s">
        <v>511</v>
      </c>
      <c r="B36" s="15" t="s">
        <v>512</v>
      </c>
      <c r="C36" s="15" t="s">
        <v>483</v>
      </c>
      <c r="D36" s="15" t="s">
        <v>111</v>
      </c>
      <c r="E36" s="15" t="str">
        <f aca="false">INDEX(Stages!$C$9:$C$25,MATCH("S15",Stages!$A$9:$A$25,0))</f>
        <v>Release 2</v>
      </c>
      <c r="F36" s="15" t="s">
        <v>454</v>
      </c>
      <c r="G36" s="15" t="n">
        <f aca="false">COUNTIF(Backlog!$B$5:$B$106,"S15")</f>
        <v>8</v>
      </c>
      <c r="H36" s="18" t="s">
        <v>444</v>
      </c>
    </row>
    <row r="37" customFormat="false" ht="15" hidden="false" customHeight="false" outlineLevel="0" collapsed="false">
      <c r="A37" s="15" t="s">
        <v>513</v>
      </c>
      <c r="B37" s="15" t="s">
        <v>514</v>
      </c>
      <c r="C37" s="15" t="s">
        <v>483</v>
      </c>
      <c r="D37" s="15" t="s">
        <v>515</v>
      </c>
      <c r="E37" s="15" t="str">
        <f aca="false">INDEX(Stages!$C$9:$C$25,MATCH("S1",Stages!$A$9:$A$25,0))</f>
        <v>Release 1</v>
      </c>
      <c r="F37" s="15" t="s">
        <v>443</v>
      </c>
      <c r="G37" s="15" t="n">
        <f aca="false">COUNTIF(Backlog!$B$5:$B$106,"S1")+COUNTIF(Backlog!$B$5:$B$106,"S2")+COUNTIF(Backlog!$B$5:$B$106,"S11")</f>
        <v>19</v>
      </c>
      <c r="H37" s="18" t="s">
        <v>444</v>
      </c>
    </row>
    <row r="38" customFormat="false" ht="15" hidden="false" customHeight="false" outlineLevel="0" collapsed="false">
      <c r="A38" s="15" t="s">
        <v>516</v>
      </c>
      <c r="B38" s="15" t="s">
        <v>517</v>
      </c>
      <c r="C38" s="15" t="s">
        <v>483</v>
      </c>
      <c r="D38" s="15" t="s">
        <v>90</v>
      </c>
      <c r="E38" s="15" t="str">
        <f aca="false">INDEX(Stages!$C$9:$C$25,MATCH("S10",Stages!$A$9:$A$25,0))</f>
        <v>Release 1</v>
      </c>
      <c r="F38" s="15" t="s">
        <v>443</v>
      </c>
      <c r="G38" s="15" t="n">
        <f aca="false">COUNTIF(Backlog!$B$5:$B$106,"S10")</f>
        <v>5</v>
      </c>
      <c r="H38" s="18" t="s">
        <v>444</v>
      </c>
    </row>
    <row r="39" customFormat="false" ht="15" hidden="false" customHeight="false" outlineLevel="0" collapsed="false">
      <c r="A39" s="15" t="s">
        <v>518</v>
      </c>
      <c r="B39" s="15" t="s">
        <v>519</v>
      </c>
      <c r="C39" s="15" t="s">
        <v>483</v>
      </c>
      <c r="D39" s="15" t="s">
        <v>520</v>
      </c>
      <c r="E39" s="15" t="str">
        <f aca="false">INDEX(Stages!$C$9:$C$25,MATCH("S1",Stages!$A$9:$A$25,0))</f>
        <v>Release 1</v>
      </c>
      <c r="F39" s="15" t="s">
        <v>454</v>
      </c>
      <c r="G39" s="15" t="n">
        <f aca="false">COUNTIF(Backlog!$B$5:$B$106,"S1")+COUNTIF(Backlog!$B$5:$B$106,"S2")</f>
        <v>13</v>
      </c>
      <c r="H39" s="18" t="s">
        <v>444</v>
      </c>
    </row>
  </sheetData>
  <autoFilter ref="A4:H39"/>
  <dataValidations count="1">
    <dataValidation allowBlank="true" errorStyle="stop" operator="between" showDropDown="false" showErrorMessage="false" showInputMessage="false" sqref="H5:H3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62"/>
    <col collapsed="false" customWidth="true" hidden="false" outlineLevel="0" max="4" min="4" style="0" width="20"/>
    <col collapsed="false" customWidth="true" hidden="false" outlineLevel="0" max="5" min="5" style="0" width="9"/>
  </cols>
  <sheetData>
    <row r="1" customFormat="false" ht="19.7" hidden="false" customHeight="false" outlineLevel="0" collapsed="false">
      <c r="A1" s="1" t="s">
        <v>521</v>
      </c>
    </row>
    <row r="2" customFormat="false" ht="15" hidden="false" customHeight="false" outlineLevel="0" collapsed="false">
      <c r="A2" s="10" t="s">
        <v>522</v>
      </c>
    </row>
    <row r="4" customFormat="false" ht="15" hidden="false" customHeight="false" outlineLevel="0" collapsed="false">
      <c r="A4" s="14" t="s">
        <v>523</v>
      </c>
      <c r="B4" s="14" t="s">
        <v>524</v>
      </c>
      <c r="C4" s="14" t="s">
        <v>525</v>
      </c>
      <c r="D4" s="14" t="s">
        <v>526</v>
      </c>
      <c r="E4" s="14" t="s">
        <v>527</v>
      </c>
    </row>
    <row r="5" customFormat="false" ht="23.85" hidden="false" customHeight="false" outlineLevel="0" collapsed="false">
      <c r="A5" s="15" t="n">
        <v>1</v>
      </c>
      <c r="B5" s="15" t="s">
        <v>528</v>
      </c>
      <c r="C5" s="15" t="s">
        <v>529</v>
      </c>
      <c r="D5" s="15" t="s">
        <v>358</v>
      </c>
      <c r="E5" s="18" t="s">
        <v>444</v>
      </c>
    </row>
    <row r="6" customFormat="false" ht="15" hidden="false" customHeight="false" outlineLevel="0" collapsed="false">
      <c r="A6" s="15" t="n">
        <v>2</v>
      </c>
      <c r="B6" s="15" t="s">
        <v>530</v>
      </c>
      <c r="C6" s="15" t="s">
        <v>531</v>
      </c>
      <c r="D6" s="15" t="s">
        <v>532</v>
      </c>
      <c r="E6" s="18" t="s">
        <v>444</v>
      </c>
    </row>
    <row r="7" customFormat="false" ht="15" hidden="false" customHeight="false" outlineLevel="0" collapsed="false">
      <c r="A7" s="15" t="n">
        <v>3</v>
      </c>
      <c r="B7" s="15" t="s">
        <v>533</v>
      </c>
      <c r="C7" s="15" t="s">
        <v>534</v>
      </c>
      <c r="D7" s="15" t="s">
        <v>535</v>
      </c>
      <c r="E7" s="18" t="s">
        <v>444</v>
      </c>
    </row>
    <row r="8" customFormat="false" ht="15" hidden="false" customHeight="false" outlineLevel="0" collapsed="false">
      <c r="A8" s="15" t="n">
        <v>4</v>
      </c>
      <c r="B8" s="15" t="s">
        <v>536</v>
      </c>
      <c r="C8" s="15" t="s">
        <v>537</v>
      </c>
      <c r="D8" s="15" t="s">
        <v>538</v>
      </c>
      <c r="E8" s="18" t="s">
        <v>444</v>
      </c>
    </row>
    <row r="9" customFormat="false" ht="23.85" hidden="false" customHeight="false" outlineLevel="0" collapsed="false">
      <c r="A9" s="15" t="n">
        <v>5</v>
      </c>
      <c r="B9" s="15" t="s">
        <v>539</v>
      </c>
      <c r="C9" s="15" t="s">
        <v>540</v>
      </c>
      <c r="D9" s="15" t="s">
        <v>541</v>
      </c>
      <c r="E9" s="18" t="s">
        <v>444</v>
      </c>
    </row>
    <row r="10" customFormat="false" ht="15" hidden="false" customHeight="false" outlineLevel="0" collapsed="false">
      <c r="A10" s="15" t="n">
        <v>6</v>
      </c>
      <c r="B10" s="15" t="s">
        <v>542</v>
      </c>
      <c r="C10" s="15" t="s">
        <v>543</v>
      </c>
      <c r="D10" s="15" t="s">
        <v>538</v>
      </c>
      <c r="E10" s="18" t="s">
        <v>444</v>
      </c>
    </row>
    <row r="11" customFormat="false" ht="15" hidden="false" customHeight="false" outlineLevel="0" collapsed="false">
      <c r="A11" s="15" t="n">
        <v>7</v>
      </c>
      <c r="B11" s="15" t="s">
        <v>544</v>
      </c>
      <c r="C11" s="15" t="s">
        <v>545</v>
      </c>
      <c r="D11" s="15" t="s">
        <v>177</v>
      </c>
      <c r="E11" s="18" t="s">
        <v>444</v>
      </c>
    </row>
    <row r="12" customFormat="false" ht="15" hidden="false" customHeight="false" outlineLevel="0" collapsed="false">
      <c r="A12" s="15" t="n">
        <v>8</v>
      </c>
      <c r="B12" s="15" t="s">
        <v>546</v>
      </c>
      <c r="C12" s="15" t="s">
        <v>547</v>
      </c>
      <c r="D12" s="15" t="s">
        <v>193</v>
      </c>
      <c r="E12" s="18" t="s">
        <v>444</v>
      </c>
    </row>
    <row r="13" customFormat="false" ht="23.85" hidden="false" customHeight="false" outlineLevel="0" collapsed="false">
      <c r="A13" s="15" t="n">
        <v>9</v>
      </c>
      <c r="B13" s="15" t="s">
        <v>548</v>
      </c>
      <c r="C13" s="15" t="s">
        <v>549</v>
      </c>
      <c r="D13" s="15" t="s">
        <v>550</v>
      </c>
      <c r="E13" s="18" t="s">
        <v>444</v>
      </c>
    </row>
    <row r="14" customFormat="false" ht="23.85" hidden="false" customHeight="false" outlineLevel="0" collapsed="false">
      <c r="A14" s="15" t="n">
        <v>10</v>
      </c>
      <c r="B14" s="15" t="s">
        <v>551</v>
      </c>
      <c r="C14" s="15" t="s">
        <v>552</v>
      </c>
      <c r="D14" s="15" t="s">
        <v>212</v>
      </c>
      <c r="E14" s="18" t="s">
        <v>444</v>
      </c>
    </row>
    <row r="15" customFormat="false" ht="15" hidden="false" customHeight="false" outlineLevel="0" collapsed="false">
      <c r="A15" s="15" t="n">
        <v>11</v>
      </c>
      <c r="B15" s="15" t="s">
        <v>553</v>
      </c>
      <c r="C15" s="15" t="s">
        <v>554</v>
      </c>
      <c r="D15" s="15" t="s">
        <v>555</v>
      </c>
      <c r="E15" s="18" t="s">
        <v>444</v>
      </c>
    </row>
    <row r="16" customFormat="false" ht="23.85" hidden="false" customHeight="false" outlineLevel="0" collapsed="false">
      <c r="A16" s="15" t="n">
        <v>12</v>
      </c>
      <c r="B16" s="15" t="s">
        <v>556</v>
      </c>
      <c r="C16" s="15" t="s">
        <v>557</v>
      </c>
      <c r="D16" s="15" t="s">
        <v>558</v>
      </c>
      <c r="E16" s="18" t="s">
        <v>444</v>
      </c>
    </row>
    <row r="17" customFormat="false" ht="15" hidden="false" customHeight="false" outlineLevel="0" collapsed="false">
      <c r="A17" s="15" t="n">
        <v>13</v>
      </c>
      <c r="B17" s="15" t="s">
        <v>559</v>
      </c>
      <c r="C17" s="15" t="s">
        <v>560</v>
      </c>
      <c r="D17" s="15" t="s">
        <v>561</v>
      </c>
      <c r="E17" s="18" t="s">
        <v>444</v>
      </c>
    </row>
    <row r="18" customFormat="false" ht="15" hidden="false" customHeight="false" outlineLevel="0" collapsed="false">
      <c r="A18" s="15" t="n">
        <v>14</v>
      </c>
      <c r="B18" s="15" t="s">
        <v>562</v>
      </c>
      <c r="C18" s="15" t="s">
        <v>563</v>
      </c>
      <c r="D18" s="15" t="s">
        <v>564</v>
      </c>
      <c r="E18" s="18" t="s">
        <v>444</v>
      </c>
    </row>
    <row r="19" customFormat="false" ht="15" hidden="false" customHeight="false" outlineLevel="0" collapsed="false">
      <c r="A19" s="15" t="n">
        <v>15</v>
      </c>
      <c r="B19" s="15" t="s">
        <v>565</v>
      </c>
      <c r="C19" s="15" t="s">
        <v>566</v>
      </c>
      <c r="D19" s="15" t="s">
        <v>567</v>
      </c>
      <c r="E19" s="18" t="s">
        <v>444</v>
      </c>
    </row>
    <row r="20" customFormat="false" ht="15" hidden="false" customHeight="false" outlineLevel="0" collapsed="false">
      <c r="A20" s="15" t="n">
        <v>16</v>
      </c>
      <c r="B20" s="15" t="s">
        <v>568</v>
      </c>
      <c r="C20" s="15" t="s">
        <v>569</v>
      </c>
      <c r="D20" s="15" t="s">
        <v>570</v>
      </c>
      <c r="E20" s="18" t="s">
        <v>444</v>
      </c>
    </row>
    <row r="21" customFormat="false" ht="15" hidden="false" customHeight="false" outlineLevel="0" collapsed="false">
      <c r="A21" s="15" t="n">
        <v>17</v>
      </c>
      <c r="B21" s="15" t="s">
        <v>571</v>
      </c>
      <c r="C21" s="15" t="s">
        <v>572</v>
      </c>
      <c r="D21" s="15" t="s">
        <v>140</v>
      </c>
      <c r="E21" s="18" t="s">
        <v>444</v>
      </c>
    </row>
    <row r="23" customFormat="false" ht="15" hidden="false" customHeight="false" outlineLevel="0" collapsed="false">
      <c r="B23" s="8" t="s">
        <v>573</v>
      </c>
      <c r="C23" s="8" t="str">
        <f aca="false">COUNTIF(E5:E21,"Yes")&amp;" of "&amp;COUNTA(B5:B21)</f>
        <v>0 of 17</v>
      </c>
    </row>
    <row r="25" customFormat="false" ht="15" hidden="false" customHeight="false" outlineLevel="0" collapsed="false">
      <c r="B25" s="10" t="s">
        <v>574</v>
      </c>
    </row>
  </sheetData>
  <dataValidations count="1">
    <dataValidation allowBlank="true" errorStyle="stop" operator="between" showDropDown="false" showErrorMessage="false" showInputMessage="false" sqref="E5:E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6"/>
    <col collapsed="false" customWidth="true" hidden="false" outlineLevel="0" max="3" min="3" style="0" width="76"/>
  </cols>
  <sheetData>
    <row r="1" customFormat="false" ht="19.7" hidden="false" customHeight="false" outlineLevel="0" collapsed="false">
      <c r="A1" s="1" t="s">
        <v>575</v>
      </c>
    </row>
    <row r="3" customFormat="false" ht="15" hidden="false" customHeight="false" outlineLevel="0" collapsed="false">
      <c r="A3" s="14" t="s">
        <v>576</v>
      </c>
      <c r="B3" s="14" t="s">
        <v>577</v>
      </c>
      <c r="C3" s="14" t="s">
        <v>578</v>
      </c>
    </row>
    <row r="4" customFormat="false" ht="15" hidden="false" customHeight="false" outlineLevel="0" collapsed="false">
      <c r="A4" s="15" t="s">
        <v>579</v>
      </c>
      <c r="B4" s="15" t="s">
        <v>580</v>
      </c>
      <c r="C4" s="15" t="s">
        <v>581</v>
      </c>
    </row>
    <row r="5" customFormat="false" ht="15" hidden="false" customHeight="false" outlineLevel="0" collapsed="false">
      <c r="A5" s="15" t="s">
        <v>582</v>
      </c>
      <c r="B5" s="15" t="s">
        <v>187</v>
      </c>
      <c r="C5" s="15" t="s">
        <v>583</v>
      </c>
    </row>
    <row r="6" customFormat="false" ht="15" hidden="false" customHeight="false" outlineLevel="0" collapsed="false">
      <c r="A6" s="15" t="s">
        <v>584</v>
      </c>
      <c r="B6" s="15" t="s">
        <v>585</v>
      </c>
      <c r="C6" s="15" t="s">
        <v>586</v>
      </c>
    </row>
    <row r="7" customFormat="false" ht="15" hidden="false" customHeight="false" outlineLevel="0" collapsed="false">
      <c r="A7" s="15" t="s">
        <v>587</v>
      </c>
      <c r="B7" s="15" t="s">
        <v>588</v>
      </c>
      <c r="C7" s="15" t="s">
        <v>589</v>
      </c>
    </row>
    <row r="8" customFormat="false" ht="15" hidden="false" customHeight="false" outlineLevel="0" collapsed="false">
      <c r="A8" s="15" t="s">
        <v>590</v>
      </c>
      <c r="B8" s="15" t="s">
        <v>591</v>
      </c>
      <c r="C8" s="15" t="s">
        <v>592</v>
      </c>
    </row>
    <row r="9" customFormat="false" ht="23.85" hidden="false" customHeight="false" outlineLevel="0" collapsed="false">
      <c r="A9" s="15" t="s">
        <v>183</v>
      </c>
      <c r="B9" s="15" t="s">
        <v>593</v>
      </c>
      <c r="C9" s="15" t="s">
        <v>594</v>
      </c>
    </row>
    <row r="10" customFormat="false" ht="15" hidden="false" customHeight="false" outlineLevel="0" collapsed="false">
      <c r="A10" s="15" t="s">
        <v>595</v>
      </c>
      <c r="B10" s="15" t="s">
        <v>596</v>
      </c>
      <c r="C10" s="15" t="s">
        <v>597</v>
      </c>
    </row>
    <row r="11" customFormat="false" ht="23.85" hidden="false" customHeight="false" outlineLevel="0" collapsed="false">
      <c r="A11" s="15" t="s">
        <v>598</v>
      </c>
      <c r="B11" s="15" t="s">
        <v>599</v>
      </c>
      <c r="C11" s="15" t="s">
        <v>600</v>
      </c>
    </row>
    <row r="12" customFormat="false" ht="15" hidden="false" customHeight="false" outlineLevel="0" collapsed="false">
      <c r="A12" s="15" t="s">
        <v>601</v>
      </c>
      <c r="B12" s="15" t="s">
        <v>602</v>
      </c>
      <c r="C12" s="15" t="s">
        <v>603</v>
      </c>
    </row>
    <row r="13" customFormat="false" ht="15" hidden="false" customHeight="false" outlineLevel="0" collapsed="false">
      <c r="A13" s="15" t="s">
        <v>604</v>
      </c>
      <c r="B13" s="15" t="s">
        <v>193</v>
      </c>
      <c r="C13" s="15" t="s">
        <v>605</v>
      </c>
    </row>
    <row r="14" customFormat="false" ht="15" hidden="false" customHeight="false" outlineLevel="0" collapsed="false">
      <c r="A14" s="15" t="s">
        <v>606</v>
      </c>
      <c r="B14" s="15" t="s">
        <v>607</v>
      </c>
      <c r="C14" s="15" t="s">
        <v>608</v>
      </c>
    </row>
    <row r="15" customFormat="false" ht="15" hidden="false" customHeight="false" outlineLevel="0" collapsed="false">
      <c r="A15" s="15" t="s">
        <v>609</v>
      </c>
      <c r="B15" s="15" t="s">
        <v>610</v>
      </c>
      <c r="C15" s="15" t="s">
        <v>611</v>
      </c>
    </row>
    <row r="16" customFormat="false" ht="15" hidden="false" customHeight="false" outlineLevel="0" collapsed="false">
      <c r="A16" s="15" t="s">
        <v>612</v>
      </c>
      <c r="B16" s="15" t="s">
        <v>613</v>
      </c>
      <c r="C16" s="15" t="s">
        <v>614</v>
      </c>
    </row>
    <row r="17" customFormat="false" ht="15" hidden="false" customHeight="false" outlineLevel="0" collapsed="false">
      <c r="A17" s="15" t="s">
        <v>615</v>
      </c>
      <c r="B17" s="15" t="s">
        <v>616</v>
      </c>
      <c r="C17" s="15" t="s">
        <v>617</v>
      </c>
    </row>
    <row r="18" customFormat="false" ht="15" hidden="false" customHeight="false" outlineLevel="0" collapsed="false">
      <c r="A18" s="15" t="s">
        <v>286</v>
      </c>
      <c r="B18" s="15" t="s">
        <v>618</v>
      </c>
      <c r="C18" s="15" t="s">
        <v>619</v>
      </c>
    </row>
    <row r="19" customFormat="false" ht="15" hidden="false" customHeight="false" outlineLevel="0" collapsed="false">
      <c r="A19" s="15" t="s">
        <v>292</v>
      </c>
      <c r="B19" s="15" t="s">
        <v>620</v>
      </c>
      <c r="C19" s="15" t="s">
        <v>621</v>
      </c>
    </row>
    <row r="20" customFormat="false" ht="15" hidden="false" customHeight="false" outlineLevel="0" collapsed="false">
      <c r="A20" s="15" t="s">
        <v>622</v>
      </c>
      <c r="B20" s="15" t="s">
        <v>314</v>
      </c>
      <c r="C20" s="15" t="s">
        <v>623</v>
      </c>
    </row>
    <row r="21" customFormat="false" ht="15" hidden="false" customHeight="false" outlineLevel="0" collapsed="false">
      <c r="A21" s="15" t="s">
        <v>624</v>
      </c>
      <c r="B21" s="15" t="s">
        <v>625</v>
      </c>
      <c r="C21" s="15" t="s">
        <v>626</v>
      </c>
    </row>
    <row r="22" customFormat="false" ht="15" hidden="false" customHeight="false" outlineLevel="0" collapsed="false">
      <c r="A22" s="15" t="s">
        <v>402</v>
      </c>
      <c r="B22" s="15" t="s">
        <v>627</v>
      </c>
      <c r="C22" s="15" t="s">
        <v>628</v>
      </c>
    </row>
    <row r="23" customFormat="false" ht="15" hidden="false" customHeight="false" outlineLevel="0" collapsed="false">
      <c r="A23" s="15" t="s">
        <v>629</v>
      </c>
      <c r="B23" s="15" t="s">
        <v>630</v>
      </c>
      <c r="C23" s="15" t="s">
        <v>631</v>
      </c>
    </row>
    <row r="24" customFormat="false" ht="15" hidden="false" customHeight="false" outlineLevel="0" collapsed="false">
      <c r="A24" s="15" t="s">
        <v>632</v>
      </c>
      <c r="B24" s="15" t="s">
        <v>633</v>
      </c>
      <c r="C24" s="15" t="s">
        <v>634</v>
      </c>
    </row>
    <row r="25" customFormat="false" ht="15" hidden="false" customHeight="false" outlineLevel="0" collapsed="false">
      <c r="A25" s="15" t="s">
        <v>343</v>
      </c>
      <c r="B25" s="15" t="s">
        <v>635</v>
      </c>
      <c r="C25" s="15" t="s">
        <v>636</v>
      </c>
    </row>
    <row r="26" customFormat="false" ht="15" hidden="false" customHeight="false" outlineLevel="0" collapsed="false">
      <c r="A26" s="15" t="s">
        <v>637</v>
      </c>
      <c r="B26" s="15" t="s">
        <v>638</v>
      </c>
      <c r="C26" s="15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7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640</v>
      </c>
    </row>
    <row r="2" customFormat="false" ht="15" hidden="false" customHeight="false" outlineLevel="0" collapsed="false">
      <c r="A2" s="10" t="s">
        <v>641</v>
      </c>
    </row>
    <row r="4" customFormat="false" ht="23.85" hidden="false" customHeight="false" outlineLevel="0" collapsed="false">
      <c r="A4" s="14" t="s">
        <v>123</v>
      </c>
      <c r="B4" s="14" t="s">
        <v>642</v>
      </c>
      <c r="C4" s="14" t="s">
        <v>643</v>
      </c>
      <c r="D4" s="14" t="s">
        <v>644</v>
      </c>
      <c r="E4" s="14" t="s">
        <v>645</v>
      </c>
      <c r="F4" s="14" t="s">
        <v>646</v>
      </c>
      <c r="G4" s="14" t="s">
        <v>647</v>
      </c>
      <c r="H4" s="14" t="s">
        <v>648</v>
      </c>
    </row>
    <row r="5" customFormat="false" ht="23.85" hidden="false" customHeight="false" outlineLevel="0" collapsed="false">
      <c r="A5" s="15" t="s">
        <v>649</v>
      </c>
      <c r="B5" s="15" t="s">
        <v>650</v>
      </c>
      <c r="C5" s="18" t="n">
        <v>3</v>
      </c>
      <c r="D5" s="18" t="n">
        <v>3</v>
      </c>
      <c r="E5" s="15" t="n">
        <f aca="false">C5*D5</f>
        <v>9</v>
      </c>
      <c r="F5" s="15" t="str">
        <f aca="false">IF(E5&gt;=6,"High",IF(E5&gt;=3,"Medium","Low"))</f>
        <v>High</v>
      </c>
      <c r="G5" s="15" t="s">
        <v>651</v>
      </c>
      <c r="H5" s="15" t="s">
        <v>134</v>
      </c>
    </row>
    <row r="6" customFormat="false" ht="15" hidden="false" customHeight="false" outlineLevel="0" collapsed="false">
      <c r="A6" s="15" t="s">
        <v>652</v>
      </c>
      <c r="B6" s="15" t="s">
        <v>653</v>
      </c>
      <c r="C6" s="18" t="n">
        <v>2</v>
      </c>
      <c r="D6" s="18" t="n">
        <v>3</v>
      </c>
      <c r="E6" s="15" t="n">
        <f aca="false">C6*D6</f>
        <v>6</v>
      </c>
      <c r="F6" s="15" t="str">
        <f aca="false">IF(E6&gt;=6,"High",IF(E6&gt;=3,"Medium","Low"))</f>
        <v>High</v>
      </c>
      <c r="G6" s="15" t="s">
        <v>654</v>
      </c>
      <c r="H6" s="15" t="s">
        <v>150</v>
      </c>
    </row>
    <row r="7" customFormat="false" ht="15" hidden="false" customHeight="false" outlineLevel="0" collapsed="false">
      <c r="A7" s="15" t="s">
        <v>655</v>
      </c>
      <c r="B7" s="15" t="s">
        <v>656</v>
      </c>
      <c r="C7" s="18" t="n">
        <v>3</v>
      </c>
      <c r="D7" s="18" t="n">
        <v>3</v>
      </c>
      <c r="E7" s="15" t="n">
        <f aca="false">C7*D7</f>
        <v>9</v>
      </c>
      <c r="F7" s="15" t="str">
        <f aca="false">IF(E7&gt;=6,"High",IF(E7&gt;=3,"Medium","Low"))</f>
        <v>High</v>
      </c>
      <c r="G7" s="15" t="s">
        <v>657</v>
      </c>
      <c r="H7" s="15" t="s">
        <v>157</v>
      </c>
    </row>
    <row r="8" customFormat="false" ht="15" hidden="false" customHeight="false" outlineLevel="0" collapsed="false">
      <c r="A8" s="15" t="s">
        <v>658</v>
      </c>
      <c r="B8" s="15" t="s">
        <v>659</v>
      </c>
      <c r="C8" s="18" t="n">
        <v>2</v>
      </c>
      <c r="D8" s="18" t="n">
        <v>3</v>
      </c>
      <c r="E8" s="15" t="n">
        <f aca="false">C8*D8</f>
        <v>6</v>
      </c>
      <c r="F8" s="15" t="str">
        <f aca="false">IF(E8&gt;=6,"High",IF(E8&gt;=3,"Medium","Low"))</f>
        <v>High</v>
      </c>
      <c r="G8" s="15" t="s">
        <v>660</v>
      </c>
      <c r="H8" s="15" t="s">
        <v>150</v>
      </c>
    </row>
    <row r="9" customFormat="false" ht="15" hidden="false" customHeight="false" outlineLevel="0" collapsed="false">
      <c r="A9" s="15" t="s">
        <v>661</v>
      </c>
      <c r="B9" s="15" t="s">
        <v>662</v>
      </c>
      <c r="C9" s="18" t="n">
        <v>2</v>
      </c>
      <c r="D9" s="18" t="n">
        <v>2</v>
      </c>
      <c r="E9" s="15" t="n">
        <f aca="false">C9*D9</f>
        <v>4</v>
      </c>
      <c r="F9" s="15" t="str">
        <f aca="false">IF(E9&gt;=6,"High",IF(E9&gt;=3,"Medium","Low"))</f>
        <v>Medium</v>
      </c>
      <c r="G9" s="15" t="s">
        <v>663</v>
      </c>
      <c r="H9" s="15" t="s">
        <v>150</v>
      </c>
    </row>
    <row r="10" customFormat="false" ht="15" hidden="false" customHeight="false" outlineLevel="0" collapsed="false">
      <c r="A10" s="15" t="s">
        <v>664</v>
      </c>
      <c r="B10" s="15" t="s">
        <v>665</v>
      </c>
      <c r="C10" s="18" t="n">
        <v>2</v>
      </c>
      <c r="D10" s="18" t="n">
        <v>3</v>
      </c>
      <c r="E10" s="15" t="n">
        <f aca="false">C10*D10</f>
        <v>6</v>
      </c>
      <c r="F10" s="15" t="str">
        <f aca="false">IF(E10&gt;=6,"High",IF(E10&gt;=3,"Medium","Low"))</f>
        <v>High</v>
      </c>
      <c r="G10" s="15" t="s">
        <v>666</v>
      </c>
      <c r="H10" s="15" t="s">
        <v>150</v>
      </c>
    </row>
    <row r="11" customFormat="false" ht="15" hidden="false" customHeight="false" outlineLevel="0" collapsed="false">
      <c r="A11" s="15" t="s">
        <v>667</v>
      </c>
      <c r="B11" s="15" t="s">
        <v>668</v>
      </c>
      <c r="C11" s="18" t="n">
        <v>2</v>
      </c>
      <c r="D11" s="18" t="n">
        <v>2</v>
      </c>
      <c r="E11" s="15" t="n">
        <f aca="false">C11*D11</f>
        <v>4</v>
      </c>
      <c r="F11" s="15" t="str">
        <f aca="false">IF(E11&gt;=6,"High",IF(E11&gt;=3,"Medium","Low"))</f>
        <v>Medium</v>
      </c>
      <c r="G11" s="15" t="s">
        <v>669</v>
      </c>
      <c r="H11" s="15" t="s">
        <v>150</v>
      </c>
    </row>
    <row r="12" customFormat="false" ht="15" hidden="false" customHeight="false" outlineLevel="0" collapsed="false">
      <c r="A12" s="15" t="s">
        <v>670</v>
      </c>
      <c r="B12" s="15" t="s">
        <v>671</v>
      </c>
      <c r="C12" s="18" t="n">
        <v>2</v>
      </c>
      <c r="D12" s="18" t="n">
        <v>2</v>
      </c>
      <c r="E12" s="15" t="n">
        <f aca="false">C12*D12</f>
        <v>4</v>
      </c>
      <c r="F12" s="15" t="str">
        <f aca="false">IF(E12&gt;=6,"High",IF(E12&gt;=3,"Medium","Low"))</f>
        <v>Medium</v>
      </c>
      <c r="G12" s="15" t="s">
        <v>672</v>
      </c>
      <c r="H12" s="15" t="s">
        <v>150</v>
      </c>
    </row>
    <row r="13" customFormat="false" ht="15" hidden="false" customHeight="false" outlineLevel="0" collapsed="false">
      <c r="A13" s="15" t="s">
        <v>673</v>
      </c>
      <c r="B13" s="15" t="s">
        <v>674</v>
      </c>
      <c r="C13" s="18" t="n">
        <v>2</v>
      </c>
      <c r="D13" s="18" t="n">
        <v>3</v>
      </c>
      <c r="E13" s="15" t="n">
        <f aca="false">C13*D13</f>
        <v>6</v>
      </c>
      <c r="F13" s="15" t="str">
        <f aca="false">IF(E13&gt;=6,"High",IF(E13&gt;=3,"Medium","Low"))</f>
        <v>High</v>
      </c>
      <c r="G13" s="15" t="s">
        <v>675</v>
      </c>
      <c r="H13" s="15" t="s">
        <v>150</v>
      </c>
    </row>
    <row r="14" customFormat="false" ht="15" hidden="false" customHeight="false" outlineLevel="0" collapsed="false">
      <c r="A14" s="15" t="s">
        <v>676</v>
      </c>
      <c r="B14" s="15" t="s">
        <v>677</v>
      </c>
      <c r="C14" s="18" t="n">
        <v>3</v>
      </c>
      <c r="D14" s="18" t="n">
        <v>2</v>
      </c>
      <c r="E14" s="15" t="n">
        <f aca="false">C14*D14</f>
        <v>6</v>
      </c>
      <c r="F14" s="15" t="str">
        <f aca="false">IF(E14&gt;=6,"High",IF(E14&gt;=3,"Medium","Low"))</f>
        <v>High</v>
      </c>
      <c r="G14" s="15" t="s">
        <v>678</v>
      </c>
      <c r="H14" s="15" t="s">
        <v>150</v>
      </c>
    </row>
    <row r="15" customFormat="false" ht="15" hidden="false" customHeight="false" outlineLevel="0" collapsed="false">
      <c r="A15" s="15" t="s">
        <v>679</v>
      </c>
      <c r="B15" s="15" t="s">
        <v>680</v>
      </c>
      <c r="C15" s="18" t="n">
        <v>3</v>
      </c>
      <c r="D15" s="18" t="n">
        <v>2</v>
      </c>
      <c r="E15" s="15" t="n">
        <f aca="false">C15*D15</f>
        <v>6</v>
      </c>
      <c r="F15" s="15" t="str">
        <f aca="false">IF(E15&gt;=6,"High",IF(E15&gt;=3,"Medium","Low"))</f>
        <v>High</v>
      </c>
      <c r="G15" s="15" t="s">
        <v>681</v>
      </c>
      <c r="H15" s="15" t="s">
        <v>134</v>
      </c>
    </row>
    <row r="16" customFormat="false" ht="23.85" hidden="false" customHeight="false" outlineLevel="0" collapsed="false">
      <c r="A16" s="15" t="s">
        <v>682</v>
      </c>
      <c r="B16" s="15" t="s">
        <v>683</v>
      </c>
      <c r="C16" s="18" t="n">
        <v>3</v>
      </c>
      <c r="D16" s="18" t="n">
        <v>3</v>
      </c>
      <c r="E16" s="15" t="n">
        <f aca="false">C16*D16</f>
        <v>9</v>
      </c>
      <c r="F16" s="15" t="str">
        <f aca="false">IF(E16&gt;=6,"High",IF(E16&gt;=3,"Medium","Low"))</f>
        <v>High</v>
      </c>
      <c r="G16" s="15" t="s">
        <v>684</v>
      </c>
      <c r="H16" s="15" t="s">
        <v>150</v>
      </c>
    </row>
    <row r="17" customFormat="false" ht="15" hidden="false" customHeight="false" outlineLevel="0" collapsed="false">
      <c r="A17" s="15" t="s">
        <v>685</v>
      </c>
      <c r="B17" s="15" t="s">
        <v>686</v>
      </c>
      <c r="C17" s="18" t="n">
        <v>2</v>
      </c>
      <c r="D17" s="18" t="n">
        <v>1</v>
      </c>
      <c r="E17" s="15" t="n">
        <f aca="false">C17*D17</f>
        <v>2</v>
      </c>
      <c r="F17" s="15" t="str">
        <f aca="false">IF(E17&gt;=6,"High",IF(E17&gt;=3,"Medium","Low"))</f>
        <v>Low</v>
      </c>
      <c r="G17" s="15" t="s">
        <v>687</v>
      </c>
      <c r="H17" s="15" t="s">
        <v>150</v>
      </c>
    </row>
    <row r="18" customFormat="false" ht="15" hidden="false" customHeight="false" outlineLevel="0" collapsed="false">
      <c r="A18" s="15" t="s">
        <v>688</v>
      </c>
      <c r="B18" s="15" t="s">
        <v>689</v>
      </c>
      <c r="C18" s="18" t="n">
        <v>1</v>
      </c>
      <c r="D18" s="18" t="n">
        <v>3</v>
      </c>
      <c r="E18" s="15" t="n">
        <f aca="false">C18*D18</f>
        <v>3</v>
      </c>
      <c r="F18" s="15" t="str">
        <f aca="false">IF(E18&gt;=6,"High",IF(E18&gt;=3,"Medium","Low"))</f>
        <v>Medium</v>
      </c>
      <c r="G18" s="15" t="s">
        <v>690</v>
      </c>
      <c r="H18" s="15" t="s">
        <v>150</v>
      </c>
    </row>
  </sheetData>
  <conditionalFormatting sqref="F5:F18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8">
      <formula>"Medium"</formula>
    </cfRule>
    <cfRule type="cellIs" priority="4" operator="equal" aboveAverage="0" equalAverage="0" bottom="0" percent="0" rank="0" text="" dxfId="5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2026-10-21T19:46:29Z</dcterms:created>
  <dc:creator>openpyxl</dc:creator>
  <dc:description/>
  <dc:language>en-US</dc:language>
  <cp:lastModifiedBy/>
  <dcterms:modified xsi:type="dcterms:W3CDTF">2026-10-21T19:46:29Z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